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ecast" sheetId="1" r:id="rId5"/>
    <sheet state="visible" name="Assumptions" sheetId="2" r:id="rId6"/>
  </sheets>
  <definedNames/>
  <calcPr/>
</workbook>
</file>

<file path=xl/sharedStrings.xml><?xml version="1.0" encoding="utf-8"?>
<sst xmlns="http://schemas.openxmlformats.org/spreadsheetml/2006/main" count="274" uniqueCount="178">
  <si>
    <t>Equals - Quarterly Forecast</t>
  </si>
  <si>
    <t>Q2 2026 -&gt; Q4 2030</t>
  </si>
  <si>
    <t>CREAM cells = drivers (editable).   BLUE cells = formulas (auto-calculate).  Ref codes on the Assumptions tab.</t>
  </si>
  <si>
    <t>Line item</t>
  </si>
  <si>
    <t>Unit</t>
  </si>
  <si>
    <t>Ref</t>
  </si>
  <si>
    <t>Q2 2026</t>
  </si>
  <si>
    <t>Q3 2026</t>
  </si>
  <si>
    <t>Q4 2026</t>
  </si>
  <si>
    <t>Q1 2027</t>
  </si>
  <si>
    <t>Q2 2027</t>
  </si>
  <si>
    <t>Q3 2027</t>
  </si>
  <si>
    <t>Q4 2027</t>
  </si>
  <si>
    <t>Q1 2028</t>
  </si>
  <si>
    <t>Q2 2028</t>
  </si>
  <si>
    <t>Q3 2028</t>
  </si>
  <si>
    <t>Q4 2028</t>
  </si>
  <si>
    <t>Q1 2029</t>
  </si>
  <si>
    <t>Q2 2029</t>
  </si>
  <si>
    <t>Q3 2029</t>
  </si>
  <si>
    <t>Q4 2029</t>
  </si>
  <si>
    <t>Q1 2030</t>
  </si>
  <si>
    <t>Q2 2030</t>
  </si>
  <si>
    <t>Q3 2030</t>
  </si>
  <si>
    <t>Q4 2030</t>
  </si>
  <si>
    <t>1.  ACQUISITION</t>
  </si>
  <si>
    <t>Paid spend (monthly)</t>
  </si>
  <si>
    <t>$K</t>
  </si>
  <si>
    <t>A1</t>
  </si>
  <si>
    <t xml:space="preserve">  Paid CPI (paid channels only, U-shape)</t>
  </si>
  <si>
    <t>$</t>
  </si>
  <si>
    <t>A2</t>
  </si>
  <si>
    <t xml:space="preserve">  Paid installs  (= paid_spend * 3 / paid_CPI)</t>
  </si>
  <si>
    <t>K</t>
  </si>
  <si>
    <t>-</t>
  </si>
  <si>
    <t>Baseline organic share  (word of mouth, brand - no K-factor)</t>
  </si>
  <si>
    <t>%</t>
  </si>
  <si>
    <t>A3</t>
  </si>
  <si>
    <t>K-factor</t>
  </si>
  <si>
    <t>ratio</t>
  </si>
  <si>
    <t>A4</t>
  </si>
  <si>
    <t xml:space="preserve">  Organic share of installs  (= (baseline + K*(1-baseline)) / (1 + K*(1-baseline)))</t>
  </si>
  <si>
    <t>Total installs  (= paid / (1 - organic_share))</t>
  </si>
  <si>
    <t xml:space="preserve">  Organic installs  (= total - paid)</t>
  </si>
  <si>
    <t xml:space="preserve">  Monthly install run-rate</t>
  </si>
  <si>
    <t>K/mo</t>
  </si>
  <si>
    <t xml:space="preserve">Blended eCPI  (= paid_spend / total_installs) </t>
  </si>
  <si>
    <t>2.  USERS &amp; RETENTION</t>
  </si>
  <si>
    <t>Monthly MAU retention</t>
  </si>
  <si>
    <t>A5</t>
  </si>
  <si>
    <t>Resurrected users (lapsed users from prior quarter returning in-quarter)</t>
  </si>
  <si>
    <t>A6</t>
  </si>
  <si>
    <t>Quarterly retention  (= mo_ret^3 + (1 - mo_ret^3) * resurrection)</t>
  </si>
  <si>
    <t>EOQ Install-to-MAU conversion</t>
  </si>
  <si>
    <t>A7</t>
  </si>
  <si>
    <t>MAU - start of quarter  (= prior Q end)</t>
  </si>
  <si>
    <t>A0</t>
  </si>
  <si>
    <t xml:space="preserve">  MAU retained  (= MAU_start * quarterly_persistence)</t>
  </si>
  <si>
    <t xml:space="preserve">  MAU added  (= total_installs * install_to_MAU)</t>
  </si>
  <si>
    <t>MAU - end of quarter  (= retained + new)</t>
  </si>
  <si>
    <t xml:space="preserve">  MAU - average  (= (start + end) / 2)</t>
  </si>
  <si>
    <t xml:space="preserve">  Net MAU adds  (= end - start)</t>
  </si>
  <si>
    <t xml:space="preserve">  Q/Q growth rate</t>
  </si>
  <si>
    <t>3.  MONETIZATION</t>
  </si>
  <si>
    <t>Subscribed userbase (% of MAU)</t>
  </si>
  <si>
    <t>A8</t>
  </si>
  <si>
    <t xml:space="preserve">  Paying subscribers  (= MAU_avg * subscribed userbase)</t>
  </si>
  <si>
    <t>ARPU - Ads</t>
  </si>
  <si>
    <t>$/yr</t>
  </si>
  <si>
    <t>A9</t>
  </si>
  <si>
    <t>ARPU - Subscriptions</t>
  </si>
  <si>
    <t>A10</t>
  </si>
  <si>
    <t>ARPU - Commerce</t>
  </si>
  <si>
    <t>A11</t>
  </si>
  <si>
    <t>ARPU - Label Services</t>
  </si>
  <si>
    <t>A12</t>
  </si>
  <si>
    <t>ARPU - Live Experiences</t>
  </si>
  <si>
    <t>A13</t>
  </si>
  <si>
    <t>ARPU - Ticketing</t>
  </si>
  <si>
    <t>A14</t>
  </si>
  <si>
    <t>ARPU - TOTAL blended  (sum of streams)</t>
  </si>
  <si>
    <t>4.  REVENUE</t>
  </si>
  <si>
    <t xml:space="preserve">  Revenue - Ads  (= MAU_avg * ARPU_yr / 4)</t>
  </si>
  <si>
    <t xml:space="preserve">  Revenue - Subscriptions  (= MAU_avg * ARPU_yr / 4)</t>
  </si>
  <si>
    <t xml:space="preserve">  Revenue - Commerce  (= MAU_avg * ARPU_yr / 4)</t>
  </si>
  <si>
    <t xml:space="preserve">  Revenue - Label Services  (= MAU_avg * ARPU_yr / 4)</t>
  </si>
  <si>
    <t xml:space="preserve">  Revenue - Live Experiences  (= MAU_avg * ARPU_yr / 4)</t>
  </si>
  <si>
    <t xml:space="preserve">  Revenue - Ticketing  (= MAU_avg * ARPU_yr / 4)</t>
  </si>
  <si>
    <t>Total revenue (quarterly)  (= sum of streams)</t>
  </si>
  <si>
    <t xml:space="preserve">  Monthly revenue (run-rate at quarter-end)</t>
  </si>
  <si>
    <t>ARR  (= MAU_end * ARPU_total)</t>
  </si>
  <si>
    <t>Revenue mix (% of total)</t>
  </si>
  <si>
    <t xml:space="preserve">  Ads mix</t>
  </si>
  <si>
    <t xml:space="preserve">  Subscriptions mix</t>
  </si>
  <si>
    <t xml:space="preserve">  Commerce mix</t>
  </si>
  <si>
    <t xml:space="preserve">  Label Services mix</t>
  </si>
  <si>
    <t xml:space="preserve">  Live Experiences mix</t>
  </si>
  <si>
    <t xml:space="preserve">  Ticketing mix</t>
  </si>
  <si>
    <t>5.  UNIT ECONOMICS</t>
  </si>
  <si>
    <t>Paid spend (quarterly)  (= monthly * 3)</t>
  </si>
  <si>
    <t xml:space="preserve">  Blended CAC  (= paid_spend_Q / total_installs)</t>
  </si>
  <si>
    <t xml:space="preserve">  Revenue per MAU (monthly)  (= ARPU_total / 12)</t>
  </si>
  <si>
    <t xml:space="preserve">  LTV proxy  (= rev_per_MAU_mo / (1 - monthly_retention))</t>
  </si>
  <si>
    <t>A19</t>
  </si>
  <si>
    <t>LTV / CAC ratio  (= LTV / Blended CAC)</t>
  </si>
  <si>
    <t>x</t>
  </si>
  <si>
    <t>QUARTERLY DRIVERS  (why we expect each shift)</t>
  </si>
  <si>
    <t>Q2 2026 - Baseline quarter. 532K starting MAU. Paid spend of $270K/mo back-solved from $1.40 paid CPI (data room growth report). 50% organic share of installs (split 51/30/15/3 across organic, TikTok, Meta, Apple Search Ads). Monthly MAU retention 45% (blended across verified and pre-verification users). Revenue $35K/mo, driven almost entirely by subscriptions at 0.5% paywall conversion. Ends Q2 at ~940K MAU.</t>
  </si>
  <si>
    <t>Q3 2026 - Fan Layer ships per the product roadmap. K-factor climbs from 0.10 to 0.30 as in-product invite mechanics improve. W4 retention improves from 27% to 32%. Paid CPI structurally compressed at $1.40 because the acquisition footprint is iOS-only and restricted to English-speaking devices. Ends at 1.6M MAU.</t>
  </si>
  <si>
    <t>Q4 2026 - Artist Layer goes live. Approximately 30 artist activations per quarter (~10K users per activation per roadmap) drive a step-change in organic acquisition. Digital Vinyls launch at $4.99-6.99 per unit. Commerce ARPU begins inflecting upward from this point as artist fan bases come on-platform with intent to purchase Digital Vinyls and artist merchandise. K-factor peaks at 0.50 - the high-water mark for viral mechanics. Ends at 2.8M MAU.</t>
  </si>
  <si>
    <t>Q1 2027 - First full quarter of artist-led growth. Chat messages running at 28.4M/mo (13x in 6 months per the retention report). Paid CPI continues declining as creative library matures and early Android + international supply opens. K-factor begins to decline from its peak as the initial viral wave normalises.</t>
  </si>
  <si>
    <t>Q2 2027 - Label Services revenue line kickstarts at $0.05/MAU/yr, the first revenue from the UMG partnership (signed) and the Sony / Warner term-sheet partners. Paid CPI bottoms at $1.10, reflecting both creative maturity and the early benefits of Android rollout and international expansion opening cheaper incremental supply pools.</t>
  </si>
  <si>
    <t>Q3 2027 - Ticketing revenue line kickstarts at $0.01/MAU/yr via venue affiliate partnerships. Paid CPI remains near the floor at $1.10 as Android and international supply expansion continues to absorb incremental spend efficiently.</t>
  </si>
  <si>
    <t>Q4 2027 - Culture Layer rollout completes per the product roadmap (W4 and W8 retention both hitting the 45% targets). MAU ends Q4 at 10.1M, matching the roadmap anchor. Paid CPI begins climbing from $1.10 to $1.15 as the cheap-supply gains from Android + internationalisation start to exhaust.</t>
  </si>
  <si>
    <t>Q1 2028 - Series B raise. Paid spend steps up from $650K/mo to $1.0M/mo as the acquisition budget is materially upweighted with new capital. Monthly retention crosses 68%, the highest of the forecast before the deliberate monetisation drag in subsequent quarters.</t>
  </si>
  <si>
    <t>Q2 2028 - Subscription monetisation is materially upweighted. The paywall stack hardens, additional features move behind paid tiers, and paywall conversion climbs from 1.0% to 1.5%. Monthly retention dips 7 percentage points (68% -&gt; 61%) reflecting the friction introduced by the monetisation push. Subscription ARPU jumps from $1.44 to $2.16/MAU/yr.</t>
  </si>
  <si>
    <t>Q3 2028 - Live Experiences revenue line kickstarts at $0.05/MAU/yr - the delayed launch reflects the need for sufficient artist density on platform to support live listening parties and concert co-watching formats. Retention recovers partially as subscription friction normalises (61% -&gt; 64%).</t>
  </si>
  <si>
    <t>Q4 2028 - Advertising is introduced into the product as a deliberate monetisation layer. Ads ARPU steps from $0.05 to $3.00/MAU/yr, with eCPMs of $51 rewarded and $27 interstitial per the monetisation data. Monthly retention dips again 4 percentage points (64% -&gt; 60%) as ad load impacts perceived experience. Revenue mix flips: ads jumps from &lt;2% to 42% of total revenue.</t>
  </si>
  <si>
    <t>Q1 2029 - International expansion picks up the growth slack as English-speaking markets begin to saturate. Paid CPI now $1.50 as scale outpaces cheap-supply expansion. Ads ARPU doubles to $6.00/MAU/yr as inventory and demand mature. Baseline organic share steps up from 70% to 75% reflecting brand maturity at scale.</t>
  </si>
  <si>
    <t>Q2 2029 - Mature six-stream monetisation stack: Ads $8 / Subs $4.65 / Commerce $0.40 / Label Services $0.25 / Live $0.14 / Ticketing $0.04, summing to $13.48/MAU/yr blended. 29M MAU.</t>
  </si>
  <si>
    <t>Q3 2029 - K-factor declines to 0.10 as social graph density saturates. The structural reason: each user has a finite local network and most of it is now on-platform, so each new install generates fewer net-new viral invites. Brand-led organic acquisition compensates for the K-factor decay.</t>
  </si>
  <si>
    <t>Q4 2029 - ARR reaches $812M at 47M MAU. Paid CPI now $1.85 - cheap supply largely exhausted across iOS, Android, and international markets. LTV/CAC peaks at ~10x earlier in the year and begins declining as paid scales into less efficient supply.</t>
  </si>
  <si>
    <t>Q1 2030 - Series C/D raise. Paid spend nearly doubles from $6.5M/mo to $12.0M/mo as growth capital is deployed aggressively into the saturation phase. Paid CPI climbs to $2.10 as the marginal install becomes more expensive at this scale.</t>
  </si>
  <si>
    <t>Q2 2030 - Paid spend reaches $15M/mo. 81M MAU. Subscription paywall conversion 4.3%. Ads ARPU at $11/MAU/yr, approaching the 2030 target of $12.</t>
  </si>
  <si>
    <t>Q3 2030 - 96M MAU. Blended ARPU $21.29/MAU/yr. ARR $2.05B. Final saturation push underway with paid spend at $20M/mo and CPI at $2.70.</t>
  </si>
  <si>
    <t>Q4 2030 - Target reached. 102M MAU. 5.0% paywall conversion. Blended ARPU $22.38/MAU/yr matches the data room target exactly. ARR $2.28B against the $2.2B data room target. Paid spend at $25M/mo (~$300M annualised), in line with mature consumer social comparables (Bumble ~$200M/yr).</t>
  </si>
  <si>
    <t>Assumptions &amp; data-room references</t>
  </si>
  <si>
    <t>Every driver in the Forecast tab links to one of these notes (click the purple Ref code).</t>
  </si>
  <si>
    <t>Codes A0..A19 below correspond to the Ref column on the Forecast tab.</t>
  </si>
  <si>
    <t>Driver</t>
  </si>
  <si>
    <t>Value &amp; rationale</t>
  </si>
  <si>
    <t>MAU baseline (Q1 2026 end)</t>
  </si>
  <si>
    <t>532K MAU measured April 2026 per the Equals growth report. This is the starting point for the Q2 2026 MAU build.</t>
  </si>
  <si>
    <t>Today $270K/mo, back-solved from current $1.40 paid CPI and the 188K paid installs/mo implied by the data room (385K total monthly installs at 49% paid mix). Scales to $25M/mo by Q4 2030 (~$300M annualised), comparable to Bumble's $200M+/yr paid marketing budget at scale. Two step-changes reflect financing inflections: Series B raise in Q1 2028 lifts monthly spend from $650K to $1.0M, and Series C/D in Q1 2030 lifts spend from $6.5M to $12.0M.</t>
  </si>
  <si>
    <t>Paid CPI (paid channels only)</t>
  </si>
  <si>
    <t>$1.40 today (versus $1.43 in December 2025 per the growth report). Declines to a floor of $1.10 in Q2-Q3 2027, driven by two structural expansions of the acquisition footprint: (a) rollout to Android (today iOS-only) and (b) internationalisation beyond English-speaking devices (today English-only). Both expansions open up larger and structurally cheaper install supply pools. From Q4 2027 onwards, paid CPI climbs as paid spend scales aggressively into less efficient supply, reaching $3.50 by Q4 2030 at $25M/mo spend.</t>
  </si>
  <si>
    <t>Baseline organic share (word of mouth, brand)</t>
  </si>
  <si>
    <t>Share of total installs that would be organic in the absence of any K-factor invite mechanics - pure brand awareness, word-of-mouth, and content-driven discovery (TikTok content engine: 150 videos per week across 30 accounts producing 1B+ cumulative views per the growth report). 50% today, growing to 75% by 2030 as Equals reaches mainstream music-consumer awareness in core English markets and across geographies.</t>
  </si>
  <si>
    <t>Viral coefficient - each install (paid or organic) triggers K additional installs via the in-product invite mechanics. Peaks at 0.50 in Q4 2026 when the Artist Layer launches and the social graph densifies rapidly around new fan communities. Declines from there to 0.01 by Q4 2030 as local social networks saturate: once a user's close friend group is already on platform, the marginal invite generates fewer net-new users. K-factor is structurally lower at scale because each user has a finite local network and most of it is on-platform by then.</t>
  </si>
  <si>
    <t>Month-over-month MAU retention, blended across verified and pre-verification users. 45% today (the pre-verification cohort drags the blended figure down; verified-user retention is materially higher). Rises through 2027 as roadmap retention milestones land (W4 retention 27% -&gt; 32% -&gt; 38% -&gt; 45%) and the user base shifts toward verified users (onboarding completion at 47%, up from 20% the prior quarter). Two intentional dips reflect monetisation roll-outs: Q2 2028 (-7pp, 68% -&gt; 61%) when subscription monetisation is materially upweighted and paywall friction is introduced, and Q4 2028 (-4pp, 64% -&gt; 60%) when advertising is added to the product. Recovers to 68% by Q4 2030 as monetisation friction normalises.</t>
  </si>
  <si>
    <t>Resurrected users</t>
  </si>
  <si>
    <t>Of users who lapsed in a given month, the fraction who return within the same quarter. Starts at 40% (early product, many casual users drifting in and out). Declines to 15% by 2030 as the product becomes daily-habit for retained cohorts and the lapsed pool is increasingly composed of truly churned users.</t>
  </si>
  <si>
    <t>EOQ install-to-MAU conversion (derived)</t>
  </si>
  <si>
    <t>End-of-quarter probability that a new install is an active MAU. Calculated as (1 + monthly_ret + monthly_ret^2) / 3, representing installs evenly distributed across the three months of the quarter: month-1 installs survive 2 monthly retention cycles, month-2 installs survive 1 cycle, month-3 installs are still in their first month. Today 55% (at 45% monthly retention); grows to 71% by Q4 2030 (at 68% monthly retention).</t>
  </si>
  <si>
    <t>Today 0.5% paywall conversion. Stays low through 2026 (growth-first; monetisation features intentionally disabled). Gentle ramp through 2027 as Digital Vinyl premium gates launch. Material climb 2028-2030 as the paywall stack matures (premium tiers, Pro+ annual, ad-free). Reaches 5.0% by Q4 2030 - a modest improvement on the 4.5% conversion proven during the November 2025 monetisation deployment, justified by five additional years of product maturity, paywall optimisation, and a more committed user base.</t>
  </si>
  <si>
    <t>ARPU - Ads ($/MAU/yr)</t>
  </si>
  <si>
    <t>Effectively zero through 2028 ($0.05/MAU/yr - the product runs ad-free by design). Steps to $3.00/MAU/yr in Q4 2028 when advertising is introduced as a deliberate monetisation layer. Ramps to $12.00/MAU/yr by Q4 2030, matching the data room target. Benchmarks cited: Snapchat ~$11 ARPU, TikTok $8-10, Instagram $20+. Equals at $12 sits between TikTok and Snapchat, supported by 35 min/day engagement (above social benchmark).</t>
  </si>
  <si>
    <t>ARPU - Subscriptions ($/MAU/yr)</t>
  </si>
  <si>
    <t>$0.72/MAU/yr today, comprising the majority of current $35K/mo revenue. Builds to $9.30/MAU/yr by Q4 2030, matching the data room target - this is the proven annualised ARPU from the end-November 2025 monetisation deployment. Implies $186/yr per paying user at 5% conversion (a blend of weekly, monthly, and annual subscription SKUs).</t>
  </si>
  <si>
    <t>ARPU - Commerce ($/MAU/yr)</t>
  </si>
  <si>
    <t>Modest $0.05/MAU/yr in Q2-Q3 2026 reflecting early Digital Vinyl interest from the existing user base. Inflects from Q4 2026 onwards when artist activations bring fan bases on platform with intent to purchase Digital Vinyls ($4.99-6.99 per unit per the roadmap) and artist merchandise. Reaches $0.42/MAU/yr by Q4 2030, matching the data room target. Buyer rate climbs from 2% today to 4% at scale.</t>
  </si>
  <si>
    <t>ARPU - Label Services ($/MAU/yr)</t>
  </si>
  <si>
    <t>Revenue line kickstarts Q2 2027 at $0.05/MAU/yr as the first label services offerings ship to UMG (signed) and the term-sheet partners (Sony, Warner). Builds to $0.40/MAU/yr by Q4 2030, capturing sub-1% of the $5B annual major-label marketing spend - matching the $40M data room target.</t>
  </si>
  <si>
    <t>ARPU - Live Experiences ($/MAU/yr)</t>
  </si>
  <si>
    <t>Revenue line kickstarts Q3 2028 at $0.05/MAU/yr. Delayed launch reflects the need for sufficient artist density on platform to support live formats: live listening parties, concert co-watching, exclusive event access. Reaches $0.20/MAU/yr by Q4 2030, matching the $20M data room target.</t>
  </si>
  <si>
    <t>ARPU - Ticketing ($/MAU/yr)</t>
  </si>
  <si>
    <t>Revenue line kickstarts Q3 2027 at $0.01/MAU/yr via affiliate/referral partnerships with venue ticketing platforms. The smallest stream at $0.06/MAU/yr by Q4 2030, matching the $6M data room target. Aligned with the high fandom-intent signal Equals captures.</t>
  </si>
  <si>
    <t>A15</t>
  </si>
  <si>
    <t>Quarterly retention (derived)</t>
  </si>
  <si>
    <t>monthly_retention^3 + (1 - monthly_retention^3) x resurrection_rate. Combines pure 3-month survival with within-quarter re-engagement of users who lapsed earlier in the quarter.</t>
  </si>
  <si>
    <t>A16</t>
  </si>
  <si>
    <t>Total installs (derived)</t>
  </si>
  <si>
    <t>paid_installs / (1 - organic_share). Built up from paid installs (the controllable input), with organic implied from the formula-derived organic share. Organic share itself derives from baseline word-of-mouth plus K-factor: (baseline + K) / (1 + K). Blended eCPI = paid_spend / total_installs falls naturally as the organic share rises, though it U-shapes back upwards in the saturation phase as paid CPI climbs faster than organic share expands.</t>
  </si>
  <si>
    <t>A17</t>
  </si>
  <si>
    <t>MAU end-of-quarter (derived)</t>
  </si>
  <si>
    <t>MAU_retained + MAU_added. Retained = MAU_start x quarterly_retention. Added = total_installs x EOQ_install_to_MAU. End-of-quarter MAU becomes the next quarter's start.</t>
  </si>
  <si>
    <t>A18</t>
  </si>
  <si>
    <t>Revenue per stream (derived)</t>
  </si>
  <si>
    <t>Quarterly $K = MAU_avg x ARPU_yr / 4, where MAU_avg = (MAU_start + MAU_end) / 2. Average MAU avoids overstating revenue at end-of-quarter run-rate when growth is rapid.</t>
  </si>
  <si>
    <t>LTV proxy</t>
  </si>
  <si>
    <t>monthly_revenue_per_MAU / (1 - monthly_retention). Standard SaaS LTV adapted for blended per-MAU ARPU. Today LTV ~ $0.12 (monetisation barely active). LTV/CAC peaks at ~10x in Q3 2029, then declines as paid spend scales into less efficient supply in 2030. By Q4 2030: LTV ~ $5.83, blended CAC ~ $0.87, LTV/CAC ~ 6.7x.</t>
  </si>
  <si>
    <t>Methodology</t>
  </si>
  <si>
    <t xml:space="preserve">  -  Rows in the Forecast tab are organised by category: Acquisition, Users &amp; Retention, Monetisation, Revenue, Unit Economics. Cream cells are editable drivers; blue cells are formulas that auto-calculate.</t>
  </si>
  <si>
    <t xml:space="preserve">  -  Blended eCPI (paid_spend / total_installs) is a derived metric. It drops from $0.64 to a $0.24 trough in Q2-Q3 2027 as organic share rises, then climbs to $0.87 by Q4 2030 as paid CPI scales faster than organic share at saturation.</t>
  </si>
  <si>
    <t xml:space="preserve">  -  Revenue is gross (pre App Store / Google Play 30% cut, pre label revenue share). Apply a ~70% net factor to derive net revenue.</t>
  </si>
  <si>
    <t xml:space="preserve">  -  K-factor applies to all installs (paid and organic), reflecting that any user can invite friends regardless of how they arrived.</t>
  </si>
  <si>
    <t xml:space="preserve">  -  Subscription revenue is calculated as MAU x ARPU per MAU (not per paying user). Matches the data room's $9.30/MAU/yr framing.</t>
  </si>
  <si>
    <t xml:space="preserve">  -  Currency: USD throughout.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</si>
</sst>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
    <numFmt numFmtId="165" formatCode="$0.00"/>
    <numFmt numFmtId="166" formatCode="0.0%"/>
    <numFmt numFmtId="167" formatCode="+#,##0;-#,##0"/>
    <numFmt numFmtId="168" formatCode="0.00&quot;x&quot;"/>
  </numFmts>
  <fonts count="18">
    <font>
      <sz val="11.0"/>
      <color theme="1"/>
      <name val="Calibri"/>
      <scheme val="minor"/>
    </font>
    <font>
      <b/>
      <sz val="22.0"/>
      <color rgb="FF0A0A0A"/>
      <name val="Helvetica Neue"/>
    </font>
    <font>
      <sz val="11.0"/>
      <color theme="1"/>
      <name val="Calibri"/>
    </font>
    <font>
      <i/>
      <sz val="11.0"/>
      <color rgb="FF4A4A4A"/>
      <name val="Helvetica Neue"/>
    </font>
    <font>
      <i/>
      <sz val="9.0"/>
      <color rgb="FFB8B4AB"/>
      <name val="Helvetica Neue"/>
    </font>
    <font>
      <b/>
      <sz val="10.0"/>
      <color rgb="FFFFFFFF"/>
      <name val="Helvetica Neue"/>
    </font>
    <font>
      <b/>
      <sz val="12.0"/>
      <color rgb="FFFFFFFF"/>
      <name val="Helvetica Neue"/>
    </font>
    <font>
      <b/>
      <sz val="10.0"/>
      <color rgb="FF1A1A1A"/>
      <name val="Helvetica Neue"/>
    </font>
    <font>
      <i/>
      <sz val="9.0"/>
      <color rgb="FF4A4A4A"/>
      <name val="Helvetica Neue"/>
    </font>
    <font>
      <sz val="9.0"/>
      <color rgb="FF8B5CF6"/>
      <name val="Helvetica Neue"/>
    </font>
    <font>
      <sz val="10.0"/>
      <color rgb="FF1A1A1A"/>
      <name val="Helvetica Neue"/>
    </font>
    <font>
      <sz val="9.0"/>
      <color rgb="FFB8B4AB"/>
      <name val="Helvetica Neue"/>
    </font>
    <font>
      <b/>
      <sz val="10.0"/>
      <color rgb="FF3B82F6"/>
      <name val="Helvetica Neue"/>
    </font>
    <font>
      <b/>
      <sz val="10.0"/>
      <color rgb="FF00C896"/>
      <name val="Helvetica Neue"/>
    </font>
    <font>
      <b/>
      <i/>
      <sz val="10.0"/>
      <color rgb="FF1A1A1A"/>
      <name val="Helvetica Neue"/>
    </font>
    <font>
      <b/>
      <sz val="12.0"/>
      <color rgb="FF0A0A0A"/>
      <name val="Helvetica Neue"/>
    </font>
    <font>
      <sz val="8.0"/>
      <color rgb="FF1A1A1A"/>
      <name val="Helvetica Neue"/>
    </font>
    <font>
      <b/>
      <sz val="10.0"/>
      <color rgb="FF8B5CF6"/>
      <name val="Helvetica Neue"/>
    </font>
  </fonts>
  <fills count="15">
    <fill>
      <patternFill patternType="none"/>
    </fill>
    <fill>
      <patternFill patternType="lightGray"/>
    </fill>
    <fill>
      <patternFill patternType="solid">
        <fgColor rgb="FF0A0A0A"/>
        <bgColor rgb="FF0A0A0A"/>
      </patternFill>
    </fill>
    <fill>
      <patternFill patternType="solid">
        <fgColor rgb="FF1F1F1F"/>
        <bgColor rgb="FF1F1F1F"/>
      </patternFill>
    </fill>
    <fill>
      <patternFill patternType="solid">
        <fgColor rgb="FF353535"/>
        <bgColor rgb="FF353535"/>
      </patternFill>
    </fill>
    <fill>
      <patternFill patternType="solid">
        <fgColor rgb="FF4D4D4D"/>
        <bgColor rgb="FF4D4D4D"/>
      </patternFill>
    </fill>
    <fill>
      <patternFill patternType="solid">
        <fgColor rgb="FF5C5C5C"/>
        <bgColor rgb="FF5C5C5C"/>
      </patternFill>
    </fill>
    <fill>
      <patternFill patternType="solid">
        <fgColor rgb="FF707070"/>
        <bgColor rgb="FF707070"/>
      </patternFill>
    </fill>
    <fill>
      <patternFill patternType="solid">
        <fgColor rgb="FFFFF8E7"/>
        <bgColor rgb="FFFFF8E7"/>
      </patternFill>
    </fill>
    <fill>
      <patternFill patternType="solid">
        <fgColor rgb="FFF0F7FC"/>
        <bgColor rgb="FFF0F7FC"/>
      </patternFill>
    </fill>
    <fill>
      <patternFill patternType="solid">
        <fgColor rgb="FFE8E5DE"/>
        <bgColor rgb="FFE8E5DE"/>
      </patternFill>
    </fill>
    <fill>
      <patternFill patternType="solid">
        <fgColor rgb="FF00C896"/>
        <bgColor rgb="FF00C896"/>
      </patternFill>
    </fill>
    <fill>
      <patternFill patternType="solid">
        <fgColor rgb="FFF5F2EC"/>
        <bgColor rgb="FFF5F2EC"/>
      </patternFill>
    </fill>
    <fill>
      <patternFill patternType="solid">
        <fgColor rgb="FFFFFFFF"/>
        <bgColor rgb="FFFFFFFF"/>
      </patternFill>
    </fill>
    <fill>
      <patternFill patternType="solid">
        <fgColor rgb="FFFF6B35"/>
        <bgColor rgb="FFFF6B35"/>
      </patternFill>
    </fill>
  </fills>
  <borders count="5">
    <border/>
    <border>
      <left/>
      <right/>
      <top/>
      <bottom/>
    </border>
    <border>
      <left style="thin">
        <color rgb="FF3A3A3A"/>
      </left>
    </border>
    <border>
      <left style="thin">
        <color rgb="FFB8B4AB"/>
      </left>
      <right style="thin">
        <color rgb="FFB8B4AB"/>
      </right>
      <top style="dotted">
        <color rgb="FFB8B4AB"/>
      </top>
      <bottom style="dotted">
        <color rgb="FFB8B4AB"/>
      </bottom>
    </border>
    <border>
      <left style="thin">
        <color rgb="FFB8B4AB"/>
      </left>
      <right style="thin">
        <color rgb="FFB8B4AB"/>
      </right>
      <top style="thin">
        <color rgb="FFB8B4AB"/>
      </top>
      <bottom style="thin">
        <color rgb="FFB8B4AB"/>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1" fillId="2" fontId="5" numFmtId="0" xfId="0" applyAlignment="1" applyBorder="1" applyFill="1" applyFont="1">
      <alignment horizontal="left" vertical="center"/>
    </xf>
    <xf borderId="1" fillId="2" fontId="5" numFmtId="0" xfId="0" applyAlignment="1" applyBorder="1" applyFont="1">
      <alignment horizontal="center" vertical="center"/>
    </xf>
    <xf borderId="2" fillId="3" fontId="5" numFmtId="0" xfId="0" applyAlignment="1" applyBorder="1" applyFill="1" applyFont="1">
      <alignment horizontal="center" vertical="center"/>
    </xf>
    <xf borderId="2" fillId="4" fontId="5" numFmtId="0" xfId="0" applyAlignment="1" applyBorder="1" applyFill="1" applyFont="1">
      <alignment horizontal="center" vertical="center"/>
    </xf>
    <xf borderId="2" fillId="5" fontId="5" numFmtId="0" xfId="0" applyAlignment="1" applyBorder="1" applyFill="1" applyFont="1">
      <alignment horizontal="center" vertical="center"/>
    </xf>
    <xf borderId="2" fillId="6" fontId="5" numFmtId="0" xfId="0" applyAlignment="1" applyBorder="1" applyFill="1" applyFont="1">
      <alignment horizontal="center" vertical="center"/>
    </xf>
    <xf borderId="2" fillId="7" fontId="5" numFmtId="0" xfId="0" applyAlignment="1" applyBorder="1" applyFill="1" applyFont="1">
      <alignment horizontal="center" vertical="center"/>
    </xf>
    <xf borderId="1" fillId="2" fontId="6" numFmtId="0" xfId="0" applyAlignment="1" applyBorder="1" applyFont="1">
      <alignment horizontal="left" vertical="center"/>
    </xf>
    <xf borderId="1" fillId="2" fontId="2" numFmtId="0" xfId="0" applyBorder="1" applyFont="1"/>
    <xf borderId="0" fillId="0" fontId="7" numFmtId="0" xfId="0" applyAlignment="1" applyFont="1">
      <alignment horizontal="left" vertical="center"/>
    </xf>
    <xf borderId="0" fillId="0" fontId="8" numFmtId="0" xfId="0" applyAlignment="1" applyFont="1">
      <alignment horizontal="center" vertical="center"/>
    </xf>
    <xf borderId="0" fillId="0" fontId="9" numFmtId="0" xfId="0" applyAlignment="1" applyFont="1">
      <alignment horizontal="center" vertical="center"/>
    </xf>
    <xf borderId="3" fillId="8" fontId="10" numFmtId="164" xfId="0" applyAlignment="1" applyBorder="1" applyFill="1" applyFont="1" applyNumberFormat="1">
      <alignment horizontal="right"/>
    </xf>
    <xf borderId="0" fillId="0" fontId="10" numFmtId="0" xfId="0" applyAlignment="1" applyFont="1">
      <alignment horizontal="left" vertical="center"/>
    </xf>
    <xf borderId="3" fillId="8" fontId="10" numFmtId="165" xfId="0" applyAlignment="1" applyBorder="1" applyFont="1" applyNumberFormat="1">
      <alignment horizontal="right"/>
    </xf>
    <xf borderId="0" fillId="0" fontId="11" numFmtId="0" xfId="0" applyAlignment="1" applyFont="1">
      <alignment horizontal="center" vertical="center"/>
    </xf>
    <xf borderId="3" fillId="9" fontId="10" numFmtId="3" xfId="0" applyAlignment="1" applyBorder="1" applyFill="1" applyFont="1" applyNumberFormat="1">
      <alignment horizontal="right"/>
    </xf>
    <xf borderId="3" fillId="8" fontId="10" numFmtId="166" xfId="0" applyAlignment="1" applyBorder="1" applyFont="1" applyNumberFormat="1">
      <alignment horizontal="right"/>
    </xf>
    <xf borderId="3" fillId="8" fontId="10" numFmtId="2" xfId="0" applyAlignment="1" applyBorder="1" applyFont="1" applyNumberFormat="1">
      <alignment horizontal="right"/>
    </xf>
    <xf borderId="3" fillId="9" fontId="12" numFmtId="166" xfId="0" applyAlignment="1" applyBorder="1" applyFont="1" applyNumberFormat="1">
      <alignment horizontal="right"/>
    </xf>
    <xf borderId="3" fillId="9" fontId="12" numFmtId="3" xfId="0" applyAlignment="1" applyBorder="1" applyFont="1" applyNumberFormat="1">
      <alignment horizontal="right"/>
    </xf>
    <xf borderId="3" fillId="9" fontId="13" numFmtId="165" xfId="0" applyAlignment="1" applyBorder="1" applyFont="1" applyNumberFormat="1">
      <alignment horizontal="right"/>
    </xf>
    <xf borderId="3" fillId="9" fontId="13" numFmtId="9" xfId="0" applyAlignment="1" applyBorder="1" applyFont="1" applyNumberFormat="1">
      <alignment horizontal="right"/>
    </xf>
    <xf borderId="3" fillId="9" fontId="10" numFmtId="166" xfId="0" applyAlignment="1" applyBorder="1" applyFont="1" applyNumberFormat="1">
      <alignment horizontal="right"/>
    </xf>
    <xf borderId="3" fillId="8" fontId="10" numFmtId="3" xfId="0" applyAlignment="1" applyBorder="1" applyFont="1" applyNumberFormat="1">
      <alignment horizontal="right"/>
    </xf>
    <xf borderId="3" fillId="9" fontId="13" numFmtId="3" xfId="0" applyAlignment="1" applyBorder="1" applyFont="1" applyNumberFormat="1">
      <alignment horizontal="right"/>
    </xf>
    <xf borderId="3" fillId="9" fontId="10" numFmtId="167" xfId="0" applyAlignment="1" applyBorder="1" applyFont="1" applyNumberFormat="1">
      <alignment horizontal="right"/>
    </xf>
    <xf borderId="3" fillId="8" fontId="10" numFmtId="10" xfId="0" applyAlignment="1" applyBorder="1" applyFont="1" applyNumberFormat="1">
      <alignment horizontal="right"/>
    </xf>
    <xf borderId="3" fillId="9" fontId="10" numFmtId="164" xfId="0" applyAlignment="1" applyBorder="1" applyFont="1" applyNumberFormat="1">
      <alignment horizontal="right"/>
    </xf>
    <xf borderId="3" fillId="9" fontId="13" numFmtId="164" xfId="0" applyAlignment="1" applyBorder="1" applyFont="1" applyNumberFormat="1">
      <alignment horizontal="right"/>
    </xf>
    <xf borderId="1" fillId="10" fontId="14" numFmtId="0" xfId="0" applyAlignment="1" applyBorder="1" applyFill="1" applyFont="1">
      <alignment horizontal="left" vertical="center"/>
    </xf>
    <xf borderId="1" fillId="10" fontId="2" numFmtId="0" xfId="0" applyBorder="1" applyFont="1"/>
    <xf borderId="3" fillId="9" fontId="10" numFmtId="165" xfId="0" applyAlignment="1" applyBorder="1" applyFont="1" applyNumberFormat="1">
      <alignment horizontal="right"/>
    </xf>
    <xf borderId="3" fillId="9" fontId="12" numFmtId="168" xfId="0" applyAlignment="1" applyBorder="1" applyFont="1" applyNumberFormat="1">
      <alignment horizontal="right"/>
    </xf>
    <xf borderId="1" fillId="11" fontId="15" numFmtId="0" xfId="0" applyAlignment="1" applyBorder="1" applyFill="1" applyFont="1">
      <alignment horizontal="left" vertical="center"/>
    </xf>
    <xf borderId="1" fillId="11" fontId="2" numFmtId="0" xfId="0" applyBorder="1" applyFont="1"/>
    <xf borderId="4" fillId="12" fontId="16" numFmtId="0" xfId="0" applyAlignment="1" applyBorder="1" applyFill="1" applyFont="1">
      <alignment horizontal="left" shrinkToFit="0" vertical="top" wrapText="1"/>
    </xf>
    <xf borderId="4" fillId="12" fontId="16" numFmtId="0" xfId="0" applyAlignment="1" applyBorder="1" applyFont="1">
      <alignment horizontal="left" readingOrder="0" shrinkToFit="0" vertical="top" wrapText="1"/>
    </xf>
    <xf borderId="4" fillId="12" fontId="17" numFmtId="0" xfId="0" applyAlignment="1" applyBorder="1" applyFont="1">
      <alignment horizontal="center" shrinkToFit="0" vertical="top" wrapText="1"/>
    </xf>
    <xf borderId="4" fillId="12" fontId="7" numFmtId="0" xfId="0" applyAlignment="1" applyBorder="1" applyFont="1">
      <alignment horizontal="left" shrinkToFit="0" vertical="top" wrapText="1"/>
    </xf>
    <xf borderId="4" fillId="12" fontId="10" numFmtId="0" xfId="0" applyAlignment="1" applyBorder="1" applyFont="1">
      <alignment horizontal="left" shrinkToFit="0" vertical="top" wrapText="1"/>
    </xf>
    <xf borderId="4" fillId="13" fontId="17" numFmtId="0" xfId="0" applyAlignment="1" applyBorder="1" applyFill="1" applyFont="1">
      <alignment horizontal="center" shrinkToFit="0" vertical="top" wrapText="1"/>
    </xf>
    <xf borderId="4" fillId="13" fontId="7" numFmtId="0" xfId="0" applyAlignment="1" applyBorder="1" applyFont="1">
      <alignment horizontal="left" shrinkToFit="0" vertical="top" wrapText="1"/>
    </xf>
    <xf borderId="4" fillId="13" fontId="10" numFmtId="0" xfId="0" applyAlignment="1" applyBorder="1" applyFont="1">
      <alignment horizontal="left" shrinkToFit="0" vertical="top" wrapText="1"/>
    </xf>
    <xf borderId="1" fillId="14" fontId="15" numFmtId="0" xfId="0" applyBorder="1" applyFill="1" applyFont="1"/>
    <xf borderId="1" fillId="14" fontId="2" numFmtId="0" xfId="0" applyBorder="1" applyFont="1"/>
    <xf borderId="0" fillId="0" fontId="10" numFmtId="0" xfId="0" applyAlignment="1" applyFont="1">
      <alignment horizontal="left" shrinkToFit="0" vertical="center" wrapText="1"/>
    </xf>
    <xf borderId="0" fillId="0" fontId="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C896"/>
    <pageSetUpPr/>
  </sheetPr>
  <sheetViews>
    <sheetView showGridLines="0"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59.0"/>
    <col customWidth="1" min="2" max="2" width="8.0"/>
    <col customWidth="1" min="3" max="3" width="7.0"/>
    <col customWidth="1" min="4" max="22" width="12.43"/>
  </cols>
  <sheetData>
    <row r="1" ht="30.0" customHeight="1">
      <c r="A1" s="1" t="s">
        <v>0</v>
      </c>
      <c r="B1" s="2"/>
      <c r="C1" s="2"/>
      <c r="D1" s="2"/>
      <c r="E1" s="2"/>
      <c r="F1" s="2"/>
      <c r="G1" s="2"/>
      <c r="H1" s="2"/>
      <c r="I1" s="2"/>
      <c r="J1" s="2"/>
      <c r="K1" s="2"/>
      <c r="L1" s="2"/>
      <c r="M1" s="2"/>
      <c r="N1" s="2"/>
      <c r="O1" s="2"/>
      <c r="P1" s="2"/>
      <c r="Q1" s="2"/>
      <c r="R1" s="2"/>
      <c r="S1" s="2"/>
      <c r="T1" s="2"/>
      <c r="U1" s="2"/>
      <c r="V1" s="2"/>
      <c r="W1" s="2"/>
      <c r="X1" s="2"/>
      <c r="Y1" s="2"/>
      <c r="Z1" s="2"/>
    </row>
    <row r="2" ht="15.75" customHeight="1">
      <c r="A2" s="3" t="s">
        <v>1</v>
      </c>
      <c r="B2" s="2"/>
      <c r="C2" s="2"/>
      <c r="D2" s="2"/>
      <c r="E2" s="2"/>
      <c r="F2" s="2"/>
      <c r="G2" s="2"/>
      <c r="H2" s="2"/>
      <c r="I2" s="2"/>
      <c r="J2" s="2"/>
      <c r="K2" s="2"/>
      <c r="L2" s="2"/>
      <c r="M2" s="2"/>
      <c r="N2" s="2"/>
      <c r="O2" s="2"/>
      <c r="P2" s="2"/>
      <c r="Q2" s="2"/>
      <c r="R2" s="2"/>
      <c r="S2" s="2"/>
      <c r="T2" s="2"/>
      <c r="U2" s="2"/>
      <c r="V2" s="2"/>
      <c r="W2" s="2"/>
      <c r="X2" s="2"/>
      <c r="Y2" s="2"/>
      <c r="Z2" s="2"/>
    </row>
    <row r="3" ht="13.5" customHeight="1">
      <c r="A3" s="4" t="s">
        <v>2</v>
      </c>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ht="21.75" customHeight="1">
      <c r="A5" s="5" t="s">
        <v>3</v>
      </c>
      <c r="B5" s="6" t="s">
        <v>4</v>
      </c>
      <c r="C5" s="6" t="s">
        <v>5</v>
      </c>
      <c r="D5" s="7" t="s">
        <v>6</v>
      </c>
      <c r="E5" s="7" t="s">
        <v>7</v>
      </c>
      <c r="F5" s="7" t="s">
        <v>8</v>
      </c>
      <c r="G5" s="8" t="s">
        <v>9</v>
      </c>
      <c r="H5" s="8" t="s">
        <v>10</v>
      </c>
      <c r="I5" s="8" t="s">
        <v>11</v>
      </c>
      <c r="J5" s="8" t="s">
        <v>12</v>
      </c>
      <c r="K5" s="9" t="s">
        <v>13</v>
      </c>
      <c r="L5" s="9" t="s">
        <v>14</v>
      </c>
      <c r="M5" s="9" t="s">
        <v>15</v>
      </c>
      <c r="N5" s="9" t="s">
        <v>16</v>
      </c>
      <c r="O5" s="10" t="s">
        <v>17</v>
      </c>
      <c r="P5" s="10" t="s">
        <v>18</v>
      </c>
      <c r="Q5" s="10" t="s">
        <v>19</v>
      </c>
      <c r="R5" s="10" t="s">
        <v>20</v>
      </c>
      <c r="S5" s="11" t="s">
        <v>21</v>
      </c>
      <c r="T5" s="11" t="s">
        <v>22</v>
      </c>
      <c r="U5" s="11" t="s">
        <v>23</v>
      </c>
      <c r="V5" s="11" t="s">
        <v>24</v>
      </c>
      <c r="W5" s="2"/>
      <c r="X5" s="2"/>
      <c r="Y5" s="2"/>
      <c r="Z5" s="2"/>
    </row>
    <row r="6" ht="24.0" customHeight="1">
      <c r="A6" s="12" t="s">
        <v>25</v>
      </c>
      <c r="B6" s="13"/>
      <c r="C6" s="13"/>
      <c r="D6" s="13"/>
      <c r="E6" s="13"/>
      <c r="F6" s="13"/>
      <c r="G6" s="13"/>
      <c r="H6" s="13"/>
      <c r="I6" s="13"/>
      <c r="J6" s="13"/>
      <c r="K6" s="13"/>
      <c r="L6" s="13"/>
      <c r="M6" s="13"/>
      <c r="N6" s="13"/>
      <c r="O6" s="13"/>
      <c r="P6" s="13"/>
      <c r="Q6" s="13"/>
      <c r="R6" s="13"/>
      <c r="S6" s="13"/>
      <c r="T6" s="13"/>
      <c r="U6" s="13"/>
      <c r="V6" s="13"/>
      <c r="W6" s="2"/>
      <c r="X6" s="2"/>
      <c r="Y6" s="2"/>
      <c r="Z6" s="2"/>
    </row>
    <row r="7" ht="18.0" customHeight="1">
      <c r="A7" s="14" t="s">
        <v>26</v>
      </c>
      <c r="B7" s="15" t="s">
        <v>27</v>
      </c>
      <c r="C7" s="16" t="s">
        <v>28</v>
      </c>
      <c r="D7" s="17">
        <v>270.0</v>
      </c>
      <c r="E7" s="17">
        <v>320.0</v>
      </c>
      <c r="F7" s="17">
        <v>380.0</v>
      </c>
      <c r="G7" s="17">
        <v>450.0</v>
      </c>
      <c r="H7" s="17">
        <v>550.0</v>
      </c>
      <c r="I7" s="17">
        <v>600.0</v>
      </c>
      <c r="J7" s="17">
        <v>650.0</v>
      </c>
      <c r="K7" s="17">
        <v>1000.0</v>
      </c>
      <c r="L7" s="17">
        <v>1250.0</v>
      </c>
      <c r="M7" s="17">
        <v>1500.0</v>
      </c>
      <c r="N7" s="17">
        <v>1750.0</v>
      </c>
      <c r="O7" s="17">
        <v>2500.0</v>
      </c>
      <c r="P7" s="17">
        <v>3500.0</v>
      </c>
      <c r="Q7" s="17">
        <v>5000.0</v>
      </c>
      <c r="R7" s="17">
        <v>6500.0</v>
      </c>
      <c r="S7" s="17">
        <v>12000.0</v>
      </c>
      <c r="T7" s="17">
        <v>15000.0</v>
      </c>
      <c r="U7" s="17">
        <v>20000.0</v>
      </c>
      <c r="V7" s="17">
        <v>25000.0</v>
      </c>
      <c r="W7" s="2"/>
      <c r="X7" s="2"/>
      <c r="Y7" s="2"/>
      <c r="Z7" s="2"/>
    </row>
    <row r="8" ht="18.0" customHeight="1">
      <c r="A8" s="18" t="s">
        <v>29</v>
      </c>
      <c r="B8" s="15" t="s">
        <v>30</v>
      </c>
      <c r="C8" s="16" t="s">
        <v>31</v>
      </c>
      <c r="D8" s="19">
        <v>1.4</v>
      </c>
      <c r="E8" s="19">
        <v>1.4</v>
      </c>
      <c r="F8" s="19">
        <v>1.3</v>
      </c>
      <c r="G8" s="19">
        <v>1.2</v>
      </c>
      <c r="H8" s="19">
        <v>1.1</v>
      </c>
      <c r="I8" s="19">
        <v>1.1</v>
      </c>
      <c r="J8" s="19">
        <v>1.15</v>
      </c>
      <c r="K8" s="19">
        <v>1.2</v>
      </c>
      <c r="L8" s="19">
        <v>1.25</v>
      </c>
      <c r="M8" s="19">
        <v>1.3</v>
      </c>
      <c r="N8" s="19">
        <v>1.4</v>
      </c>
      <c r="O8" s="19">
        <v>1.5</v>
      </c>
      <c r="P8" s="19">
        <v>1.6</v>
      </c>
      <c r="Q8" s="19">
        <v>1.7</v>
      </c>
      <c r="R8" s="19">
        <v>1.85</v>
      </c>
      <c r="S8" s="19">
        <v>2.1</v>
      </c>
      <c r="T8" s="19">
        <v>2.4</v>
      </c>
      <c r="U8" s="19">
        <v>2.7</v>
      </c>
      <c r="V8" s="19">
        <v>3.5</v>
      </c>
      <c r="W8" s="2"/>
      <c r="X8" s="2"/>
      <c r="Y8" s="2"/>
      <c r="Z8" s="2"/>
    </row>
    <row r="9" ht="18.0" customHeight="1">
      <c r="A9" s="18" t="s">
        <v>32</v>
      </c>
      <c r="B9" s="15" t="s">
        <v>33</v>
      </c>
      <c r="C9" s="20" t="s">
        <v>34</v>
      </c>
      <c r="D9" s="21">
        <f t="shared" ref="D9:V9" si="1">D7*3/D8</f>
        <v>578.5714286</v>
      </c>
      <c r="E9" s="21">
        <f t="shared" si="1"/>
        <v>685.7142857</v>
      </c>
      <c r="F9" s="21">
        <f t="shared" si="1"/>
        <v>876.9230769</v>
      </c>
      <c r="G9" s="21">
        <f t="shared" si="1"/>
        <v>1125</v>
      </c>
      <c r="H9" s="21">
        <f t="shared" si="1"/>
        <v>1500</v>
      </c>
      <c r="I9" s="21">
        <f t="shared" si="1"/>
        <v>1636.363636</v>
      </c>
      <c r="J9" s="21">
        <f t="shared" si="1"/>
        <v>1695.652174</v>
      </c>
      <c r="K9" s="21">
        <f t="shared" si="1"/>
        <v>2500</v>
      </c>
      <c r="L9" s="21">
        <f t="shared" si="1"/>
        <v>3000</v>
      </c>
      <c r="M9" s="21">
        <f t="shared" si="1"/>
        <v>3461.538462</v>
      </c>
      <c r="N9" s="21">
        <f t="shared" si="1"/>
        <v>3750</v>
      </c>
      <c r="O9" s="21">
        <f t="shared" si="1"/>
        <v>5000</v>
      </c>
      <c r="P9" s="21">
        <f t="shared" si="1"/>
        <v>6562.5</v>
      </c>
      <c r="Q9" s="21">
        <f t="shared" si="1"/>
        <v>8823.529412</v>
      </c>
      <c r="R9" s="21">
        <f t="shared" si="1"/>
        <v>10540.54054</v>
      </c>
      <c r="S9" s="21">
        <f t="shared" si="1"/>
        <v>17142.85714</v>
      </c>
      <c r="T9" s="21">
        <f t="shared" si="1"/>
        <v>18750</v>
      </c>
      <c r="U9" s="21">
        <f t="shared" si="1"/>
        <v>22222.22222</v>
      </c>
      <c r="V9" s="21">
        <f t="shared" si="1"/>
        <v>21428.57143</v>
      </c>
      <c r="W9" s="2"/>
      <c r="X9" s="2"/>
      <c r="Y9" s="2"/>
      <c r="Z9" s="2"/>
    </row>
    <row r="10" ht="18.0" customHeight="1">
      <c r="A10" s="14" t="s">
        <v>35</v>
      </c>
      <c r="B10" s="15" t="s">
        <v>36</v>
      </c>
      <c r="C10" s="16" t="s">
        <v>37</v>
      </c>
      <c r="D10" s="22">
        <v>0.5</v>
      </c>
      <c r="E10" s="22">
        <v>0.55</v>
      </c>
      <c r="F10" s="22">
        <v>0.6</v>
      </c>
      <c r="G10" s="22">
        <v>0.65</v>
      </c>
      <c r="H10" s="22">
        <v>0.7</v>
      </c>
      <c r="I10" s="22">
        <v>0.7</v>
      </c>
      <c r="J10" s="22">
        <v>0.7</v>
      </c>
      <c r="K10" s="22">
        <v>0.7</v>
      </c>
      <c r="L10" s="22">
        <v>0.7</v>
      </c>
      <c r="M10" s="22">
        <v>0.7</v>
      </c>
      <c r="N10" s="22">
        <v>0.7</v>
      </c>
      <c r="O10" s="22">
        <v>0.75</v>
      </c>
      <c r="P10" s="22">
        <v>0.75</v>
      </c>
      <c r="Q10" s="22">
        <v>0.75</v>
      </c>
      <c r="R10" s="22">
        <v>0.75</v>
      </c>
      <c r="S10" s="22">
        <v>0.75</v>
      </c>
      <c r="T10" s="22">
        <v>0.75</v>
      </c>
      <c r="U10" s="22">
        <v>0.75</v>
      </c>
      <c r="V10" s="22">
        <v>0.75</v>
      </c>
      <c r="W10" s="2"/>
      <c r="X10" s="2"/>
      <c r="Y10" s="2"/>
      <c r="Z10" s="2"/>
    </row>
    <row r="11" ht="18.0" customHeight="1">
      <c r="A11" s="14" t="s">
        <v>38</v>
      </c>
      <c r="B11" s="15" t="s">
        <v>39</v>
      </c>
      <c r="C11" s="16" t="s">
        <v>40</v>
      </c>
      <c r="D11" s="23">
        <v>0.1</v>
      </c>
      <c r="E11" s="23">
        <v>0.3</v>
      </c>
      <c r="F11" s="23">
        <v>0.5</v>
      </c>
      <c r="G11" s="23">
        <v>0.45</v>
      </c>
      <c r="H11" s="23">
        <v>0.4</v>
      </c>
      <c r="I11" s="23">
        <v>0.4</v>
      </c>
      <c r="J11" s="23">
        <v>0.4</v>
      </c>
      <c r="K11" s="23">
        <v>0.35</v>
      </c>
      <c r="L11" s="23">
        <v>0.3</v>
      </c>
      <c r="M11" s="23">
        <v>0.25</v>
      </c>
      <c r="N11" s="23">
        <v>0.2</v>
      </c>
      <c r="O11" s="23">
        <v>0.15</v>
      </c>
      <c r="P11" s="23">
        <v>0.1</v>
      </c>
      <c r="Q11" s="23">
        <v>0.1</v>
      </c>
      <c r="R11" s="23">
        <v>0.05</v>
      </c>
      <c r="S11" s="23">
        <v>0.05</v>
      </c>
      <c r="T11" s="23">
        <v>0.01</v>
      </c>
      <c r="U11" s="23">
        <v>0.01</v>
      </c>
      <c r="V11" s="23">
        <v>0.01</v>
      </c>
      <c r="W11" s="2"/>
      <c r="X11" s="2"/>
      <c r="Y11" s="2"/>
      <c r="Z11" s="2"/>
    </row>
    <row r="12" ht="18.0" customHeight="1">
      <c r="A12" s="14" t="s">
        <v>41</v>
      </c>
      <c r="B12" s="15" t="s">
        <v>36</v>
      </c>
      <c r="C12" s="20" t="s">
        <v>34</v>
      </c>
      <c r="D12" s="24">
        <f t="shared" ref="D12:V12" si="2">(D10+D11)/(1+D11)</f>
        <v>0.5454545455</v>
      </c>
      <c r="E12" s="24">
        <f t="shared" si="2"/>
        <v>0.6538461538</v>
      </c>
      <c r="F12" s="24">
        <f t="shared" si="2"/>
        <v>0.7333333333</v>
      </c>
      <c r="G12" s="24">
        <f t="shared" si="2"/>
        <v>0.7586206897</v>
      </c>
      <c r="H12" s="24">
        <f t="shared" si="2"/>
        <v>0.7857142857</v>
      </c>
      <c r="I12" s="24">
        <f t="shared" si="2"/>
        <v>0.7857142857</v>
      </c>
      <c r="J12" s="24">
        <f t="shared" si="2"/>
        <v>0.7857142857</v>
      </c>
      <c r="K12" s="24">
        <f t="shared" si="2"/>
        <v>0.7777777778</v>
      </c>
      <c r="L12" s="24">
        <f t="shared" si="2"/>
        <v>0.7692307692</v>
      </c>
      <c r="M12" s="24">
        <f t="shared" si="2"/>
        <v>0.76</v>
      </c>
      <c r="N12" s="24">
        <f t="shared" si="2"/>
        <v>0.75</v>
      </c>
      <c r="O12" s="24">
        <f t="shared" si="2"/>
        <v>0.7826086957</v>
      </c>
      <c r="P12" s="24">
        <f t="shared" si="2"/>
        <v>0.7727272727</v>
      </c>
      <c r="Q12" s="24">
        <f t="shared" si="2"/>
        <v>0.7727272727</v>
      </c>
      <c r="R12" s="24">
        <f t="shared" si="2"/>
        <v>0.7619047619</v>
      </c>
      <c r="S12" s="24">
        <f t="shared" si="2"/>
        <v>0.7619047619</v>
      </c>
      <c r="T12" s="24">
        <f t="shared" si="2"/>
        <v>0.7524752475</v>
      </c>
      <c r="U12" s="24">
        <f t="shared" si="2"/>
        <v>0.7524752475</v>
      </c>
      <c r="V12" s="24">
        <f t="shared" si="2"/>
        <v>0.7524752475</v>
      </c>
      <c r="W12" s="2"/>
      <c r="X12" s="2"/>
      <c r="Y12" s="2"/>
      <c r="Z12" s="2"/>
    </row>
    <row r="13" ht="18.0" customHeight="1">
      <c r="A13" s="14" t="s">
        <v>42</v>
      </c>
      <c r="B13" s="15" t="s">
        <v>33</v>
      </c>
      <c r="C13" s="20" t="s">
        <v>34</v>
      </c>
      <c r="D13" s="25">
        <f t="shared" ref="D13:V13" si="3">D9/(1-D12)</f>
        <v>1272.857143</v>
      </c>
      <c r="E13" s="25">
        <f t="shared" si="3"/>
        <v>1980.952381</v>
      </c>
      <c r="F13" s="25">
        <f t="shared" si="3"/>
        <v>3288.461538</v>
      </c>
      <c r="G13" s="25">
        <f t="shared" si="3"/>
        <v>4660.714286</v>
      </c>
      <c r="H13" s="25">
        <f t="shared" si="3"/>
        <v>7000</v>
      </c>
      <c r="I13" s="25">
        <f t="shared" si="3"/>
        <v>7636.363636</v>
      </c>
      <c r="J13" s="25">
        <f t="shared" si="3"/>
        <v>7913.043478</v>
      </c>
      <c r="K13" s="25">
        <f t="shared" si="3"/>
        <v>11250</v>
      </c>
      <c r="L13" s="25">
        <f t="shared" si="3"/>
        <v>13000</v>
      </c>
      <c r="M13" s="25">
        <f t="shared" si="3"/>
        <v>14423.07692</v>
      </c>
      <c r="N13" s="25">
        <f t="shared" si="3"/>
        <v>15000</v>
      </c>
      <c r="O13" s="25">
        <f t="shared" si="3"/>
        <v>23000</v>
      </c>
      <c r="P13" s="25">
        <f t="shared" si="3"/>
        <v>28875</v>
      </c>
      <c r="Q13" s="25">
        <f t="shared" si="3"/>
        <v>38823.52941</v>
      </c>
      <c r="R13" s="25">
        <f t="shared" si="3"/>
        <v>44270.27027</v>
      </c>
      <c r="S13" s="25">
        <f t="shared" si="3"/>
        <v>72000</v>
      </c>
      <c r="T13" s="25">
        <f t="shared" si="3"/>
        <v>75750</v>
      </c>
      <c r="U13" s="25">
        <f t="shared" si="3"/>
        <v>89777.77778</v>
      </c>
      <c r="V13" s="25">
        <f t="shared" si="3"/>
        <v>86571.42857</v>
      </c>
      <c r="W13" s="2"/>
      <c r="X13" s="2"/>
      <c r="Y13" s="2"/>
      <c r="Z13" s="2"/>
    </row>
    <row r="14" ht="18.0" customHeight="1">
      <c r="A14" s="18" t="s">
        <v>43</v>
      </c>
      <c r="B14" s="15" t="s">
        <v>33</v>
      </c>
      <c r="C14" s="20" t="s">
        <v>34</v>
      </c>
      <c r="D14" s="21">
        <f t="shared" ref="D14:V14" si="4">D13-D9</f>
        <v>694.2857143</v>
      </c>
      <c r="E14" s="21">
        <f t="shared" si="4"/>
        <v>1295.238095</v>
      </c>
      <c r="F14" s="21">
        <f t="shared" si="4"/>
        <v>2411.538462</v>
      </c>
      <c r="G14" s="21">
        <f t="shared" si="4"/>
        <v>3535.714286</v>
      </c>
      <c r="H14" s="21">
        <f t="shared" si="4"/>
        <v>5500</v>
      </c>
      <c r="I14" s="21">
        <f t="shared" si="4"/>
        <v>6000</v>
      </c>
      <c r="J14" s="21">
        <f t="shared" si="4"/>
        <v>6217.391304</v>
      </c>
      <c r="K14" s="21">
        <f t="shared" si="4"/>
        <v>8750</v>
      </c>
      <c r="L14" s="21">
        <f t="shared" si="4"/>
        <v>10000</v>
      </c>
      <c r="M14" s="21">
        <f t="shared" si="4"/>
        <v>10961.53846</v>
      </c>
      <c r="N14" s="21">
        <f t="shared" si="4"/>
        <v>11250</v>
      </c>
      <c r="O14" s="21">
        <f t="shared" si="4"/>
        <v>18000</v>
      </c>
      <c r="P14" s="21">
        <f t="shared" si="4"/>
        <v>22312.5</v>
      </c>
      <c r="Q14" s="21">
        <f t="shared" si="4"/>
        <v>30000</v>
      </c>
      <c r="R14" s="21">
        <f t="shared" si="4"/>
        <v>33729.72973</v>
      </c>
      <c r="S14" s="21">
        <f t="shared" si="4"/>
        <v>54857.14286</v>
      </c>
      <c r="T14" s="21">
        <f t="shared" si="4"/>
        <v>57000</v>
      </c>
      <c r="U14" s="21">
        <f t="shared" si="4"/>
        <v>67555.55556</v>
      </c>
      <c r="V14" s="21">
        <f t="shared" si="4"/>
        <v>65142.85714</v>
      </c>
      <c r="W14" s="2"/>
      <c r="X14" s="2"/>
      <c r="Y14" s="2"/>
      <c r="Z14" s="2"/>
    </row>
    <row r="15" ht="18.0" customHeight="1">
      <c r="A15" s="18" t="s">
        <v>44</v>
      </c>
      <c r="B15" s="15" t="s">
        <v>45</v>
      </c>
      <c r="C15" s="20" t="s">
        <v>34</v>
      </c>
      <c r="D15" s="21">
        <f t="shared" ref="D15:V15" si="5">D13/3</f>
        <v>424.2857143</v>
      </c>
      <c r="E15" s="21">
        <f t="shared" si="5"/>
        <v>660.3174603</v>
      </c>
      <c r="F15" s="21">
        <f t="shared" si="5"/>
        <v>1096.153846</v>
      </c>
      <c r="G15" s="21">
        <f t="shared" si="5"/>
        <v>1553.571429</v>
      </c>
      <c r="H15" s="21">
        <f t="shared" si="5"/>
        <v>2333.333333</v>
      </c>
      <c r="I15" s="21">
        <f t="shared" si="5"/>
        <v>2545.454545</v>
      </c>
      <c r="J15" s="21">
        <f t="shared" si="5"/>
        <v>2637.681159</v>
      </c>
      <c r="K15" s="21">
        <f t="shared" si="5"/>
        <v>3750</v>
      </c>
      <c r="L15" s="21">
        <f t="shared" si="5"/>
        <v>4333.333333</v>
      </c>
      <c r="M15" s="21">
        <f t="shared" si="5"/>
        <v>4807.692308</v>
      </c>
      <c r="N15" s="21">
        <f t="shared" si="5"/>
        <v>5000</v>
      </c>
      <c r="O15" s="21">
        <f t="shared" si="5"/>
        <v>7666.666667</v>
      </c>
      <c r="P15" s="21">
        <f t="shared" si="5"/>
        <v>9625</v>
      </c>
      <c r="Q15" s="21">
        <f t="shared" si="5"/>
        <v>12941.17647</v>
      </c>
      <c r="R15" s="21">
        <f t="shared" si="5"/>
        <v>14756.75676</v>
      </c>
      <c r="S15" s="21">
        <f t="shared" si="5"/>
        <v>24000</v>
      </c>
      <c r="T15" s="21">
        <f t="shared" si="5"/>
        <v>25250</v>
      </c>
      <c r="U15" s="21">
        <f t="shared" si="5"/>
        <v>29925.92593</v>
      </c>
      <c r="V15" s="21">
        <f t="shared" si="5"/>
        <v>28857.14286</v>
      </c>
      <c r="W15" s="2"/>
      <c r="X15" s="2"/>
      <c r="Y15" s="2"/>
      <c r="Z15" s="2"/>
    </row>
    <row r="16" ht="18.0" customHeight="1">
      <c r="A16" s="14" t="s">
        <v>46</v>
      </c>
      <c r="B16" s="15" t="s">
        <v>30</v>
      </c>
      <c r="C16" s="20" t="s">
        <v>34</v>
      </c>
      <c r="D16" s="26">
        <f t="shared" ref="D16:V16" si="6">D7*3/D13</f>
        <v>0.6363636364</v>
      </c>
      <c r="E16" s="26">
        <f t="shared" si="6"/>
        <v>0.4846153846</v>
      </c>
      <c r="F16" s="26">
        <f t="shared" si="6"/>
        <v>0.3466666667</v>
      </c>
      <c r="G16" s="26">
        <f t="shared" si="6"/>
        <v>0.2896551724</v>
      </c>
      <c r="H16" s="26">
        <f t="shared" si="6"/>
        <v>0.2357142857</v>
      </c>
      <c r="I16" s="26">
        <f t="shared" si="6"/>
        <v>0.2357142857</v>
      </c>
      <c r="J16" s="26">
        <f t="shared" si="6"/>
        <v>0.2464285714</v>
      </c>
      <c r="K16" s="26">
        <f t="shared" si="6"/>
        <v>0.2666666667</v>
      </c>
      <c r="L16" s="26">
        <f t="shared" si="6"/>
        <v>0.2884615385</v>
      </c>
      <c r="M16" s="26">
        <f t="shared" si="6"/>
        <v>0.312</v>
      </c>
      <c r="N16" s="26">
        <f t="shared" si="6"/>
        <v>0.35</v>
      </c>
      <c r="O16" s="26">
        <f t="shared" si="6"/>
        <v>0.3260869565</v>
      </c>
      <c r="P16" s="26">
        <f t="shared" si="6"/>
        <v>0.3636363636</v>
      </c>
      <c r="Q16" s="26">
        <f t="shared" si="6"/>
        <v>0.3863636364</v>
      </c>
      <c r="R16" s="26">
        <f t="shared" si="6"/>
        <v>0.4404761905</v>
      </c>
      <c r="S16" s="26">
        <f t="shared" si="6"/>
        <v>0.5</v>
      </c>
      <c r="T16" s="26">
        <f t="shared" si="6"/>
        <v>0.5940594059</v>
      </c>
      <c r="U16" s="26">
        <f t="shared" si="6"/>
        <v>0.6683168317</v>
      </c>
      <c r="V16" s="26">
        <f t="shared" si="6"/>
        <v>0.8663366337</v>
      </c>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ht="24.0" customHeight="1">
      <c r="A18" s="12" t="s">
        <v>47</v>
      </c>
      <c r="B18" s="13"/>
      <c r="C18" s="13"/>
      <c r="D18" s="13"/>
      <c r="E18" s="13"/>
      <c r="F18" s="13"/>
      <c r="G18" s="13"/>
      <c r="H18" s="13"/>
      <c r="I18" s="13"/>
      <c r="J18" s="13"/>
      <c r="K18" s="13"/>
      <c r="L18" s="13"/>
      <c r="M18" s="13"/>
      <c r="N18" s="13"/>
      <c r="O18" s="13"/>
      <c r="P18" s="13"/>
      <c r="Q18" s="13"/>
      <c r="R18" s="13"/>
      <c r="S18" s="13"/>
      <c r="T18" s="13"/>
      <c r="U18" s="13"/>
      <c r="V18" s="13"/>
      <c r="W18" s="2"/>
      <c r="X18" s="2"/>
      <c r="Y18" s="2"/>
      <c r="Z18" s="2"/>
    </row>
    <row r="19" ht="18.0" customHeight="1">
      <c r="A19" s="18" t="s">
        <v>48</v>
      </c>
      <c r="B19" s="15" t="s">
        <v>36</v>
      </c>
      <c r="C19" s="16" t="s">
        <v>49</v>
      </c>
      <c r="D19" s="22">
        <v>0.45</v>
      </c>
      <c r="E19" s="22">
        <v>0.5</v>
      </c>
      <c r="F19" s="22">
        <v>0.54</v>
      </c>
      <c r="G19" s="22">
        <v>0.57</v>
      </c>
      <c r="H19" s="22">
        <v>0.6</v>
      </c>
      <c r="I19" s="22">
        <v>0.63</v>
      </c>
      <c r="J19" s="22">
        <v>0.65</v>
      </c>
      <c r="K19" s="22">
        <v>0.68</v>
      </c>
      <c r="L19" s="22">
        <v>0.61</v>
      </c>
      <c r="M19" s="22">
        <v>0.64</v>
      </c>
      <c r="N19" s="22">
        <v>0.6</v>
      </c>
      <c r="O19" s="22">
        <v>0.62</v>
      </c>
      <c r="P19" s="22">
        <v>0.64</v>
      </c>
      <c r="Q19" s="22">
        <v>0.65</v>
      </c>
      <c r="R19" s="22">
        <v>0.65</v>
      </c>
      <c r="S19" s="22">
        <v>0.66</v>
      </c>
      <c r="T19" s="22">
        <v>0.67</v>
      </c>
      <c r="U19" s="22">
        <v>0.67</v>
      </c>
      <c r="V19" s="22">
        <v>0.68</v>
      </c>
      <c r="W19" s="2"/>
      <c r="X19" s="2"/>
      <c r="Y19" s="2"/>
      <c r="Z19" s="2"/>
    </row>
    <row r="20" ht="18.0" customHeight="1">
      <c r="A20" s="18" t="s">
        <v>50</v>
      </c>
      <c r="B20" s="15" t="s">
        <v>36</v>
      </c>
      <c r="C20" s="16" t="s">
        <v>51</v>
      </c>
      <c r="D20" s="22">
        <v>0.4</v>
      </c>
      <c r="E20" s="22">
        <v>0.4</v>
      </c>
      <c r="F20" s="22">
        <v>0.4</v>
      </c>
      <c r="G20" s="22">
        <v>0.4</v>
      </c>
      <c r="H20" s="22">
        <v>0.4</v>
      </c>
      <c r="I20" s="22">
        <v>0.35</v>
      </c>
      <c r="J20" s="22">
        <v>0.35</v>
      </c>
      <c r="K20" s="22">
        <v>0.35</v>
      </c>
      <c r="L20" s="22">
        <v>0.3</v>
      </c>
      <c r="M20" s="22">
        <v>0.25</v>
      </c>
      <c r="N20" s="22">
        <v>0.25</v>
      </c>
      <c r="O20" s="22">
        <v>0.25</v>
      </c>
      <c r="P20" s="22">
        <v>0.2</v>
      </c>
      <c r="Q20" s="22">
        <v>0.2</v>
      </c>
      <c r="R20" s="22">
        <v>0.2</v>
      </c>
      <c r="S20" s="22">
        <v>0.15</v>
      </c>
      <c r="T20" s="22">
        <v>0.15</v>
      </c>
      <c r="U20" s="22">
        <v>0.15</v>
      </c>
      <c r="V20" s="22">
        <v>0.15</v>
      </c>
      <c r="W20" s="2"/>
      <c r="X20" s="2"/>
      <c r="Y20" s="2"/>
      <c r="Z20" s="2"/>
    </row>
    <row r="21" ht="18.0" customHeight="1">
      <c r="A21" s="14" t="s">
        <v>52</v>
      </c>
      <c r="B21" s="15" t="s">
        <v>36</v>
      </c>
      <c r="C21" s="20" t="s">
        <v>34</v>
      </c>
      <c r="D21" s="27">
        <f t="shared" ref="D21:V21" si="7">D19^3+(1-D19^3)*D20</f>
        <v>0.454675</v>
      </c>
      <c r="E21" s="27">
        <f t="shared" si="7"/>
        <v>0.475</v>
      </c>
      <c r="F21" s="27">
        <f t="shared" si="7"/>
        <v>0.4944784</v>
      </c>
      <c r="G21" s="27">
        <f t="shared" si="7"/>
        <v>0.5111158</v>
      </c>
      <c r="H21" s="27">
        <f t="shared" si="7"/>
        <v>0.5296</v>
      </c>
      <c r="I21" s="27">
        <f t="shared" si="7"/>
        <v>0.51253055</v>
      </c>
      <c r="J21" s="27">
        <f t="shared" si="7"/>
        <v>0.52850625</v>
      </c>
      <c r="K21" s="27">
        <f t="shared" si="7"/>
        <v>0.5543808</v>
      </c>
      <c r="L21" s="27">
        <f t="shared" si="7"/>
        <v>0.4588867</v>
      </c>
      <c r="M21" s="27">
        <f t="shared" si="7"/>
        <v>0.446608</v>
      </c>
      <c r="N21" s="27">
        <f t="shared" si="7"/>
        <v>0.412</v>
      </c>
      <c r="O21" s="27">
        <f t="shared" si="7"/>
        <v>0.428746</v>
      </c>
      <c r="P21" s="27">
        <f t="shared" si="7"/>
        <v>0.4097152</v>
      </c>
      <c r="Q21" s="27">
        <f t="shared" si="7"/>
        <v>0.4197</v>
      </c>
      <c r="R21" s="27">
        <f t="shared" si="7"/>
        <v>0.4197</v>
      </c>
      <c r="S21" s="27">
        <f t="shared" si="7"/>
        <v>0.3943716</v>
      </c>
      <c r="T21" s="27">
        <f t="shared" si="7"/>
        <v>0.40564855</v>
      </c>
      <c r="U21" s="27">
        <f t="shared" si="7"/>
        <v>0.40564855</v>
      </c>
      <c r="V21" s="27">
        <f t="shared" si="7"/>
        <v>0.4172672</v>
      </c>
      <c r="W21" s="2"/>
      <c r="X21" s="2"/>
      <c r="Y21" s="2"/>
      <c r="Z21" s="2"/>
    </row>
    <row r="22" ht="18.0" customHeight="1">
      <c r="A22" s="14" t="s">
        <v>53</v>
      </c>
      <c r="B22" s="15" t="s">
        <v>36</v>
      </c>
      <c r="C22" s="16" t="s">
        <v>54</v>
      </c>
      <c r="D22" s="28">
        <f t="shared" ref="D22:V22" si="8">1/3+1/3*D19+1/3*D19^2</f>
        <v>0.5508333333</v>
      </c>
      <c r="E22" s="28">
        <f t="shared" si="8"/>
        <v>0.5833333333</v>
      </c>
      <c r="F22" s="28">
        <f t="shared" si="8"/>
        <v>0.6105333333</v>
      </c>
      <c r="G22" s="28">
        <f t="shared" si="8"/>
        <v>0.6316333333</v>
      </c>
      <c r="H22" s="28">
        <f t="shared" si="8"/>
        <v>0.6533333333</v>
      </c>
      <c r="I22" s="28">
        <f t="shared" si="8"/>
        <v>0.6756333333</v>
      </c>
      <c r="J22" s="28">
        <f t="shared" si="8"/>
        <v>0.6908333333</v>
      </c>
      <c r="K22" s="28">
        <f t="shared" si="8"/>
        <v>0.7141333333</v>
      </c>
      <c r="L22" s="28">
        <f t="shared" si="8"/>
        <v>0.6607</v>
      </c>
      <c r="M22" s="28">
        <f t="shared" si="8"/>
        <v>0.6832</v>
      </c>
      <c r="N22" s="28">
        <f t="shared" si="8"/>
        <v>0.6533333333</v>
      </c>
      <c r="O22" s="28">
        <f t="shared" si="8"/>
        <v>0.6681333333</v>
      </c>
      <c r="P22" s="28">
        <f t="shared" si="8"/>
        <v>0.6832</v>
      </c>
      <c r="Q22" s="28">
        <f t="shared" si="8"/>
        <v>0.6908333333</v>
      </c>
      <c r="R22" s="28">
        <f t="shared" si="8"/>
        <v>0.6908333333</v>
      </c>
      <c r="S22" s="28">
        <f t="shared" si="8"/>
        <v>0.6985333333</v>
      </c>
      <c r="T22" s="28">
        <f t="shared" si="8"/>
        <v>0.7063</v>
      </c>
      <c r="U22" s="28">
        <f t="shared" si="8"/>
        <v>0.7063</v>
      </c>
      <c r="V22" s="28">
        <f t="shared" si="8"/>
        <v>0.7141333333</v>
      </c>
      <c r="W22" s="2"/>
      <c r="X22" s="2"/>
      <c r="Y22" s="2"/>
      <c r="Z22" s="2"/>
    </row>
    <row r="23" ht="18.0" customHeight="1">
      <c r="A23" s="18" t="s">
        <v>55</v>
      </c>
      <c r="B23" s="15" t="s">
        <v>33</v>
      </c>
      <c r="C23" s="16" t="s">
        <v>56</v>
      </c>
      <c r="D23" s="29">
        <v>532.0</v>
      </c>
      <c r="E23" s="21">
        <f t="shared" ref="E23:V23" si="9">D26</f>
        <v>943.0192429</v>
      </c>
      <c r="F23" s="21">
        <f t="shared" si="9"/>
        <v>1603.489696</v>
      </c>
      <c r="G23" s="21">
        <f t="shared" si="9"/>
        <v>2800.606404</v>
      </c>
      <c r="H23" s="21">
        <f t="shared" si="9"/>
        <v>4375.296683</v>
      </c>
      <c r="I23" s="21">
        <f t="shared" si="9"/>
        <v>6890.490456</v>
      </c>
      <c r="J23" s="21">
        <f t="shared" si="9"/>
        <v>8690.968682</v>
      </c>
      <c r="K23" s="21">
        <f t="shared" si="9"/>
        <v>10059.82547</v>
      </c>
      <c r="L23" s="21">
        <f t="shared" si="9"/>
        <v>13610.97409</v>
      </c>
      <c r="M23" s="21">
        <f t="shared" si="9"/>
        <v>14834.99498</v>
      </c>
      <c r="N23" s="21">
        <f t="shared" si="9"/>
        <v>16479.27359</v>
      </c>
      <c r="O23" s="21">
        <f t="shared" si="9"/>
        <v>16589.46072</v>
      </c>
      <c r="P23" s="21">
        <f t="shared" si="9"/>
        <v>22479.73159</v>
      </c>
      <c r="Q23" s="21">
        <f t="shared" si="9"/>
        <v>28937.68773</v>
      </c>
      <c r="R23" s="21">
        <f t="shared" si="9"/>
        <v>38965.73577</v>
      </c>
      <c r="S23" s="21">
        <f t="shared" si="9"/>
        <v>46937.29768</v>
      </c>
      <c r="T23" s="21">
        <f t="shared" si="9"/>
        <v>68805.13719</v>
      </c>
      <c r="U23" s="21">
        <f t="shared" si="9"/>
        <v>81412.92913</v>
      </c>
      <c r="V23" s="21">
        <f t="shared" si="9"/>
        <v>96435.0811</v>
      </c>
      <c r="W23" s="2"/>
      <c r="X23" s="2"/>
      <c r="Y23" s="2"/>
      <c r="Z23" s="2"/>
    </row>
    <row r="24" ht="18.0" customHeight="1">
      <c r="A24" s="18" t="s">
        <v>57</v>
      </c>
      <c r="B24" s="15" t="s">
        <v>33</v>
      </c>
      <c r="C24" s="20" t="s">
        <v>34</v>
      </c>
      <c r="D24" s="21">
        <f t="shared" ref="D24:V24" si="10">D23*D21</f>
        <v>241.8871</v>
      </c>
      <c r="E24" s="21">
        <f t="shared" si="10"/>
        <v>447.9341404</v>
      </c>
      <c r="F24" s="21">
        <f t="shared" si="10"/>
        <v>792.8910193</v>
      </c>
      <c r="G24" s="21">
        <f t="shared" si="10"/>
        <v>1431.434183</v>
      </c>
      <c r="H24" s="21">
        <f t="shared" si="10"/>
        <v>2317.157123</v>
      </c>
      <c r="I24" s="21">
        <f t="shared" si="10"/>
        <v>3531.586863</v>
      </c>
      <c r="J24" s="21">
        <f t="shared" si="10"/>
        <v>4593.231267</v>
      </c>
      <c r="K24" s="21">
        <f t="shared" si="10"/>
        <v>5576.974092</v>
      </c>
      <c r="L24" s="21">
        <f t="shared" si="10"/>
        <v>6245.894985</v>
      </c>
      <c r="M24" s="21">
        <f t="shared" si="10"/>
        <v>6625.42744</v>
      </c>
      <c r="N24" s="21">
        <f t="shared" si="10"/>
        <v>6789.460721</v>
      </c>
      <c r="O24" s="21">
        <f t="shared" si="10"/>
        <v>7112.664926</v>
      </c>
      <c r="P24" s="21">
        <f t="shared" si="10"/>
        <v>9210.287726</v>
      </c>
      <c r="Q24" s="21">
        <f t="shared" si="10"/>
        <v>12145.14754</v>
      </c>
      <c r="R24" s="21">
        <f t="shared" si="10"/>
        <v>16353.9193</v>
      </c>
      <c r="S24" s="21">
        <f t="shared" si="10"/>
        <v>18510.73719</v>
      </c>
      <c r="T24" s="21">
        <f t="shared" si="10"/>
        <v>27910.70413</v>
      </c>
      <c r="U24" s="21">
        <f t="shared" si="10"/>
        <v>33025.03665</v>
      </c>
      <c r="V24" s="21">
        <f t="shared" si="10"/>
        <v>40239.19627</v>
      </c>
      <c r="W24" s="2"/>
      <c r="X24" s="2"/>
      <c r="Y24" s="2"/>
      <c r="Z24" s="2"/>
    </row>
    <row r="25" ht="18.0" customHeight="1">
      <c r="A25" s="18" t="s">
        <v>58</v>
      </c>
      <c r="B25" s="15" t="s">
        <v>33</v>
      </c>
      <c r="C25" s="20" t="s">
        <v>34</v>
      </c>
      <c r="D25" s="21">
        <f t="shared" ref="D25:V25" si="11">D13*D22</f>
        <v>701.1321429</v>
      </c>
      <c r="E25" s="21">
        <f t="shared" si="11"/>
        <v>1155.555556</v>
      </c>
      <c r="F25" s="21">
        <f t="shared" si="11"/>
        <v>2007.715385</v>
      </c>
      <c r="G25" s="21">
        <f t="shared" si="11"/>
        <v>2943.8625</v>
      </c>
      <c r="H25" s="21">
        <f t="shared" si="11"/>
        <v>4573.333333</v>
      </c>
      <c r="I25" s="21">
        <f t="shared" si="11"/>
        <v>5159.381818</v>
      </c>
      <c r="J25" s="21">
        <f t="shared" si="11"/>
        <v>5466.594203</v>
      </c>
      <c r="K25" s="21">
        <f t="shared" si="11"/>
        <v>8034</v>
      </c>
      <c r="L25" s="21">
        <f t="shared" si="11"/>
        <v>8589.1</v>
      </c>
      <c r="M25" s="21">
        <f t="shared" si="11"/>
        <v>9853.846154</v>
      </c>
      <c r="N25" s="21">
        <f t="shared" si="11"/>
        <v>9800</v>
      </c>
      <c r="O25" s="21">
        <f t="shared" si="11"/>
        <v>15367.06667</v>
      </c>
      <c r="P25" s="21">
        <f t="shared" si="11"/>
        <v>19727.4</v>
      </c>
      <c r="Q25" s="21">
        <f t="shared" si="11"/>
        <v>26820.58824</v>
      </c>
      <c r="R25" s="21">
        <f t="shared" si="11"/>
        <v>30583.37838</v>
      </c>
      <c r="S25" s="21">
        <f t="shared" si="11"/>
        <v>50294.4</v>
      </c>
      <c r="T25" s="21">
        <f t="shared" si="11"/>
        <v>53502.225</v>
      </c>
      <c r="U25" s="21">
        <f t="shared" si="11"/>
        <v>63410.04444</v>
      </c>
      <c r="V25" s="21">
        <f t="shared" si="11"/>
        <v>61823.54286</v>
      </c>
      <c r="W25" s="2"/>
      <c r="X25" s="2"/>
      <c r="Y25" s="2"/>
      <c r="Z25" s="2"/>
    </row>
    <row r="26" ht="18.0" customHeight="1">
      <c r="A26" s="14" t="s">
        <v>59</v>
      </c>
      <c r="B26" s="15" t="s">
        <v>33</v>
      </c>
      <c r="C26" s="20" t="s">
        <v>34</v>
      </c>
      <c r="D26" s="30">
        <f t="shared" ref="D26:V26" si="12">D24+D25</f>
        <v>943.0192429</v>
      </c>
      <c r="E26" s="30">
        <f t="shared" si="12"/>
        <v>1603.489696</v>
      </c>
      <c r="F26" s="30">
        <f t="shared" si="12"/>
        <v>2800.606404</v>
      </c>
      <c r="G26" s="30">
        <f t="shared" si="12"/>
        <v>4375.296683</v>
      </c>
      <c r="H26" s="30">
        <f t="shared" si="12"/>
        <v>6890.490456</v>
      </c>
      <c r="I26" s="30">
        <f t="shared" si="12"/>
        <v>8690.968682</v>
      </c>
      <c r="J26" s="30">
        <f t="shared" si="12"/>
        <v>10059.82547</v>
      </c>
      <c r="K26" s="30">
        <f t="shared" si="12"/>
        <v>13610.97409</v>
      </c>
      <c r="L26" s="30">
        <f t="shared" si="12"/>
        <v>14834.99498</v>
      </c>
      <c r="M26" s="30">
        <f t="shared" si="12"/>
        <v>16479.27359</v>
      </c>
      <c r="N26" s="30">
        <f t="shared" si="12"/>
        <v>16589.46072</v>
      </c>
      <c r="O26" s="30">
        <f t="shared" si="12"/>
        <v>22479.73159</v>
      </c>
      <c r="P26" s="30">
        <f t="shared" si="12"/>
        <v>28937.68773</v>
      </c>
      <c r="Q26" s="30">
        <f t="shared" si="12"/>
        <v>38965.73577</v>
      </c>
      <c r="R26" s="30">
        <f t="shared" si="12"/>
        <v>46937.29768</v>
      </c>
      <c r="S26" s="30">
        <f t="shared" si="12"/>
        <v>68805.13719</v>
      </c>
      <c r="T26" s="30">
        <f t="shared" si="12"/>
        <v>81412.92913</v>
      </c>
      <c r="U26" s="30">
        <f t="shared" si="12"/>
        <v>96435.0811</v>
      </c>
      <c r="V26" s="30">
        <f t="shared" si="12"/>
        <v>102062.7391</v>
      </c>
      <c r="W26" s="2"/>
      <c r="X26" s="2"/>
      <c r="Y26" s="2"/>
      <c r="Z26" s="2"/>
    </row>
    <row r="27" ht="18.0" customHeight="1">
      <c r="A27" s="18" t="s">
        <v>60</v>
      </c>
      <c r="B27" s="15" t="s">
        <v>33</v>
      </c>
      <c r="C27" s="20" t="s">
        <v>34</v>
      </c>
      <c r="D27" s="21">
        <f t="shared" ref="D27:V27" si="13">(D23+D26)/2</f>
        <v>737.5096214</v>
      </c>
      <c r="E27" s="21">
        <f t="shared" si="13"/>
        <v>1273.254469</v>
      </c>
      <c r="F27" s="21">
        <f t="shared" si="13"/>
        <v>2202.04805</v>
      </c>
      <c r="G27" s="21">
        <f t="shared" si="13"/>
        <v>3587.951543</v>
      </c>
      <c r="H27" s="21">
        <f t="shared" si="13"/>
        <v>5632.89357</v>
      </c>
      <c r="I27" s="21">
        <f t="shared" si="13"/>
        <v>7790.729569</v>
      </c>
      <c r="J27" s="21">
        <f t="shared" si="13"/>
        <v>9375.397076</v>
      </c>
      <c r="K27" s="21">
        <f t="shared" si="13"/>
        <v>11835.39978</v>
      </c>
      <c r="L27" s="21">
        <f t="shared" si="13"/>
        <v>14222.98454</v>
      </c>
      <c r="M27" s="21">
        <f t="shared" si="13"/>
        <v>15657.13429</v>
      </c>
      <c r="N27" s="21">
        <f t="shared" si="13"/>
        <v>16534.36716</v>
      </c>
      <c r="O27" s="21">
        <f t="shared" si="13"/>
        <v>19534.59616</v>
      </c>
      <c r="P27" s="21">
        <f t="shared" si="13"/>
        <v>25708.70966</v>
      </c>
      <c r="Q27" s="21">
        <f t="shared" si="13"/>
        <v>33951.71175</v>
      </c>
      <c r="R27" s="21">
        <f t="shared" si="13"/>
        <v>42951.51673</v>
      </c>
      <c r="S27" s="21">
        <f t="shared" si="13"/>
        <v>57871.21743</v>
      </c>
      <c r="T27" s="21">
        <f t="shared" si="13"/>
        <v>75109.03316</v>
      </c>
      <c r="U27" s="21">
        <f t="shared" si="13"/>
        <v>88924.00512</v>
      </c>
      <c r="V27" s="21">
        <f t="shared" si="13"/>
        <v>99248.91011</v>
      </c>
      <c r="W27" s="2"/>
      <c r="X27" s="2"/>
      <c r="Y27" s="2"/>
      <c r="Z27" s="2"/>
    </row>
    <row r="28" ht="18.0" customHeight="1">
      <c r="A28" s="18" t="s">
        <v>61</v>
      </c>
      <c r="B28" s="15" t="s">
        <v>33</v>
      </c>
      <c r="C28" s="20" t="s">
        <v>34</v>
      </c>
      <c r="D28" s="31">
        <f t="shared" ref="D28:V28" si="14">D26-D23</f>
        <v>411.0192429</v>
      </c>
      <c r="E28" s="31">
        <f t="shared" si="14"/>
        <v>660.4704531</v>
      </c>
      <c r="F28" s="31">
        <f t="shared" si="14"/>
        <v>1197.116708</v>
      </c>
      <c r="G28" s="31">
        <f t="shared" si="14"/>
        <v>1574.690279</v>
      </c>
      <c r="H28" s="31">
        <f t="shared" si="14"/>
        <v>2515.193774</v>
      </c>
      <c r="I28" s="31">
        <f t="shared" si="14"/>
        <v>1800.478225</v>
      </c>
      <c r="J28" s="31">
        <f t="shared" si="14"/>
        <v>1368.856788</v>
      </c>
      <c r="K28" s="31">
        <f t="shared" si="14"/>
        <v>3551.148622</v>
      </c>
      <c r="L28" s="31">
        <f t="shared" si="14"/>
        <v>1224.020893</v>
      </c>
      <c r="M28" s="31">
        <f t="shared" si="14"/>
        <v>1644.278609</v>
      </c>
      <c r="N28" s="31">
        <f t="shared" si="14"/>
        <v>110.1871267</v>
      </c>
      <c r="O28" s="31">
        <f t="shared" si="14"/>
        <v>5890.270872</v>
      </c>
      <c r="P28" s="31">
        <f t="shared" si="14"/>
        <v>6457.956133</v>
      </c>
      <c r="Q28" s="31">
        <f t="shared" si="14"/>
        <v>10028.04805</v>
      </c>
      <c r="R28" s="31">
        <f t="shared" si="14"/>
        <v>7971.561909</v>
      </c>
      <c r="S28" s="31">
        <f t="shared" si="14"/>
        <v>21867.8395</v>
      </c>
      <c r="T28" s="31">
        <f t="shared" si="14"/>
        <v>12607.79195</v>
      </c>
      <c r="U28" s="31">
        <f t="shared" si="14"/>
        <v>15022.15197</v>
      </c>
      <c r="V28" s="31">
        <f t="shared" si="14"/>
        <v>5627.658031</v>
      </c>
      <c r="W28" s="2"/>
      <c r="X28" s="2"/>
      <c r="Y28" s="2"/>
      <c r="Z28" s="2"/>
    </row>
    <row r="29" ht="18.0" customHeight="1">
      <c r="A29" s="18" t="s">
        <v>62</v>
      </c>
      <c r="B29" s="15" t="s">
        <v>36</v>
      </c>
      <c r="C29" s="20" t="s">
        <v>34</v>
      </c>
      <c r="D29" s="28">
        <f t="shared" ref="D29:V29" si="15">D28/D23</f>
        <v>0.7725925618</v>
      </c>
      <c r="E29" s="28">
        <f t="shared" si="15"/>
        <v>0.7003785533</v>
      </c>
      <c r="F29" s="28">
        <f t="shared" si="15"/>
        <v>0.7465696294</v>
      </c>
      <c r="G29" s="28">
        <f t="shared" si="15"/>
        <v>0.5622676134</v>
      </c>
      <c r="H29" s="28">
        <f t="shared" si="15"/>
        <v>0.5748624508</v>
      </c>
      <c r="I29" s="28">
        <f t="shared" si="15"/>
        <v>0.2612989941</v>
      </c>
      <c r="J29" s="28">
        <f t="shared" si="15"/>
        <v>0.1575033622</v>
      </c>
      <c r="K29" s="28">
        <f t="shared" si="15"/>
        <v>0.3530030051</v>
      </c>
      <c r="L29" s="28">
        <f t="shared" si="15"/>
        <v>0.0899289709</v>
      </c>
      <c r="M29" s="28">
        <f t="shared" si="15"/>
        <v>0.1108378271</v>
      </c>
      <c r="N29" s="28">
        <f t="shared" si="15"/>
        <v>0.006686406783</v>
      </c>
      <c r="O29" s="28">
        <f t="shared" si="15"/>
        <v>0.3550610216</v>
      </c>
      <c r="P29" s="28">
        <f t="shared" si="15"/>
        <v>0.2872790587</v>
      </c>
      <c r="Q29" s="28">
        <f t="shared" si="15"/>
        <v>0.3465393691</v>
      </c>
      <c r="R29" s="28">
        <f t="shared" si="15"/>
        <v>0.20457876</v>
      </c>
      <c r="S29" s="28">
        <f t="shared" si="15"/>
        <v>0.4658947273</v>
      </c>
      <c r="T29" s="28">
        <f t="shared" si="15"/>
        <v>0.1832391077</v>
      </c>
      <c r="U29" s="28">
        <f t="shared" si="15"/>
        <v>0.1845180136</v>
      </c>
      <c r="V29" s="28">
        <f t="shared" si="15"/>
        <v>0.05835695855</v>
      </c>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24.0" customHeight="1">
      <c r="A31" s="12" t="s">
        <v>63</v>
      </c>
      <c r="B31" s="13"/>
      <c r="C31" s="13"/>
      <c r="D31" s="13"/>
      <c r="E31" s="13"/>
      <c r="F31" s="13"/>
      <c r="G31" s="13"/>
      <c r="H31" s="13"/>
      <c r="I31" s="13"/>
      <c r="J31" s="13"/>
      <c r="K31" s="13"/>
      <c r="L31" s="13"/>
      <c r="M31" s="13"/>
      <c r="N31" s="13"/>
      <c r="O31" s="13"/>
      <c r="P31" s="13"/>
      <c r="Q31" s="13"/>
      <c r="R31" s="13"/>
      <c r="S31" s="13"/>
      <c r="T31" s="13"/>
      <c r="U31" s="13"/>
      <c r="V31" s="13"/>
      <c r="W31" s="2"/>
      <c r="X31" s="2"/>
      <c r="Y31" s="2"/>
      <c r="Z31" s="2"/>
    </row>
    <row r="32" ht="18.0" customHeight="1">
      <c r="A32" s="14" t="s">
        <v>64</v>
      </c>
      <c r="B32" s="15" t="s">
        <v>36</v>
      </c>
      <c r="C32" s="16" t="s">
        <v>65</v>
      </c>
      <c r="D32" s="32">
        <v>0.005</v>
      </c>
      <c r="E32" s="32">
        <v>0.005</v>
      </c>
      <c r="F32" s="32">
        <v>0.005</v>
      </c>
      <c r="G32" s="32">
        <v>0.006</v>
      </c>
      <c r="H32" s="32">
        <v>0.007</v>
      </c>
      <c r="I32" s="32">
        <v>0.008</v>
      </c>
      <c r="J32" s="32">
        <v>0.009</v>
      </c>
      <c r="K32" s="32">
        <v>0.01</v>
      </c>
      <c r="L32" s="32">
        <v>0.015</v>
      </c>
      <c r="M32" s="32">
        <v>0.02</v>
      </c>
      <c r="N32" s="32">
        <v>0.024</v>
      </c>
      <c r="O32" s="32">
        <v>0.028</v>
      </c>
      <c r="P32" s="32">
        <v>0.031</v>
      </c>
      <c r="Q32" s="32">
        <v>0.034</v>
      </c>
      <c r="R32" s="32">
        <v>0.037</v>
      </c>
      <c r="S32" s="32">
        <v>0.04</v>
      </c>
      <c r="T32" s="32">
        <v>0.043</v>
      </c>
      <c r="U32" s="32">
        <v>0.046</v>
      </c>
      <c r="V32" s="32">
        <v>0.05</v>
      </c>
      <c r="W32" s="2"/>
      <c r="X32" s="2"/>
      <c r="Y32" s="2"/>
      <c r="Z32" s="2"/>
    </row>
    <row r="33" ht="18.0" customHeight="1">
      <c r="A33" s="18" t="s">
        <v>66</v>
      </c>
      <c r="B33" s="15" t="s">
        <v>33</v>
      </c>
      <c r="C33" s="20" t="s">
        <v>34</v>
      </c>
      <c r="D33" s="21">
        <f t="shared" ref="D33:V33" si="16">D27*D32</f>
        <v>3.687548107</v>
      </c>
      <c r="E33" s="21">
        <f t="shared" si="16"/>
        <v>6.366272347</v>
      </c>
      <c r="F33" s="21">
        <f t="shared" si="16"/>
        <v>11.01024025</v>
      </c>
      <c r="G33" s="21">
        <f t="shared" si="16"/>
        <v>21.52770926</v>
      </c>
      <c r="H33" s="21">
        <f t="shared" si="16"/>
        <v>39.43025499</v>
      </c>
      <c r="I33" s="21">
        <f t="shared" si="16"/>
        <v>62.32583655</v>
      </c>
      <c r="J33" s="21">
        <f t="shared" si="16"/>
        <v>84.37857368</v>
      </c>
      <c r="K33" s="21">
        <f t="shared" si="16"/>
        <v>118.3539978</v>
      </c>
      <c r="L33" s="21">
        <f t="shared" si="16"/>
        <v>213.3447681</v>
      </c>
      <c r="M33" s="21">
        <f t="shared" si="16"/>
        <v>313.1426858</v>
      </c>
      <c r="N33" s="21">
        <f t="shared" si="16"/>
        <v>396.8248118</v>
      </c>
      <c r="O33" s="21">
        <f t="shared" si="16"/>
        <v>546.9686924</v>
      </c>
      <c r="P33" s="21">
        <f t="shared" si="16"/>
        <v>796.9699994</v>
      </c>
      <c r="Q33" s="21">
        <f t="shared" si="16"/>
        <v>1154.358199</v>
      </c>
      <c r="R33" s="21">
        <f t="shared" si="16"/>
        <v>1589.206119</v>
      </c>
      <c r="S33" s="21">
        <f t="shared" si="16"/>
        <v>2314.848697</v>
      </c>
      <c r="T33" s="21">
        <f t="shared" si="16"/>
        <v>3229.688426</v>
      </c>
      <c r="U33" s="21">
        <f t="shared" si="16"/>
        <v>4090.504235</v>
      </c>
      <c r="V33" s="21">
        <f t="shared" si="16"/>
        <v>4962.445506</v>
      </c>
      <c r="W33" s="2"/>
      <c r="X33" s="2"/>
      <c r="Y33" s="2"/>
      <c r="Z33" s="2"/>
    </row>
    <row r="34" ht="18.0" customHeight="1">
      <c r="A34" s="18" t="s">
        <v>67</v>
      </c>
      <c r="B34" s="15" t="s">
        <v>68</v>
      </c>
      <c r="C34" s="16" t="s">
        <v>69</v>
      </c>
      <c r="D34" s="19">
        <v>0.05</v>
      </c>
      <c r="E34" s="19">
        <v>0.05</v>
      </c>
      <c r="F34" s="19">
        <v>0.05</v>
      </c>
      <c r="G34" s="19">
        <v>0.05</v>
      </c>
      <c r="H34" s="19">
        <v>0.05</v>
      </c>
      <c r="I34" s="19">
        <v>0.05</v>
      </c>
      <c r="J34" s="19">
        <v>0.05</v>
      </c>
      <c r="K34" s="19">
        <v>0.05</v>
      </c>
      <c r="L34" s="19">
        <v>0.05</v>
      </c>
      <c r="M34" s="19">
        <v>0.05</v>
      </c>
      <c r="N34" s="19">
        <v>3.0</v>
      </c>
      <c r="O34" s="19">
        <v>6.0</v>
      </c>
      <c r="P34" s="19">
        <v>8.0</v>
      </c>
      <c r="Q34" s="19">
        <v>10.0</v>
      </c>
      <c r="R34" s="19">
        <v>10.5</v>
      </c>
      <c r="S34" s="19">
        <v>11.0</v>
      </c>
      <c r="T34" s="19">
        <v>11.3</v>
      </c>
      <c r="U34" s="19">
        <v>11.6</v>
      </c>
      <c r="V34" s="19">
        <v>12.0</v>
      </c>
      <c r="W34" s="2"/>
      <c r="X34" s="2"/>
      <c r="Y34" s="2"/>
      <c r="Z34" s="2"/>
    </row>
    <row r="35" ht="18.0" customHeight="1">
      <c r="A35" s="18" t="s">
        <v>70</v>
      </c>
      <c r="B35" s="15" t="s">
        <v>68</v>
      </c>
      <c r="C35" s="16" t="s">
        <v>71</v>
      </c>
      <c r="D35" s="19">
        <v>0.72</v>
      </c>
      <c r="E35" s="19">
        <v>0.72</v>
      </c>
      <c r="F35" s="19">
        <v>0.72</v>
      </c>
      <c r="G35" s="19">
        <v>0.864</v>
      </c>
      <c r="H35" s="19">
        <v>1.008</v>
      </c>
      <c r="I35" s="19">
        <v>1.152</v>
      </c>
      <c r="J35" s="19">
        <v>1.296</v>
      </c>
      <c r="K35" s="19">
        <v>1.44</v>
      </c>
      <c r="L35" s="19">
        <v>2.16</v>
      </c>
      <c r="M35" s="19">
        <v>2.88</v>
      </c>
      <c r="N35" s="19">
        <v>3.456</v>
      </c>
      <c r="O35" s="19">
        <v>4.2</v>
      </c>
      <c r="P35" s="19">
        <v>4.65</v>
      </c>
      <c r="Q35" s="19">
        <v>5.4</v>
      </c>
      <c r="R35" s="19">
        <v>5.876470588235294</v>
      </c>
      <c r="S35" s="19">
        <v>7.1</v>
      </c>
      <c r="T35" s="19">
        <v>8.1</v>
      </c>
      <c r="U35" s="19">
        <v>8.665116279069768</v>
      </c>
      <c r="V35" s="19">
        <v>9.3</v>
      </c>
      <c r="W35" s="2"/>
      <c r="X35" s="2"/>
      <c r="Y35" s="2"/>
      <c r="Z35" s="2"/>
    </row>
    <row r="36" ht="18.0" customHeight="1">
      <c r="A36" s="18" t="s">
        <v>72</v>
      </c>
      <c r="B36" s="15" t="s">
        <v>68</v>
      </c>
      <c r="C36" s="16" t="s">
        <v>73</v>
      </c>
      <c r="D36" s="19">
        <v>0.05</v>
      </c>
      <c r="E36" s="19">
        <v>0.1</v>
      </c>
      <c r="F36" s="19">
        <v>0.15</v>
      </c>
      <c r="G36" s="19">
        <v>0.2</v>
      </c>
      <c r="H36" s="19">
        <v>0.25</v>
      </c>
      <c r="I36" s="19">
        <v>0.28</v>
      </c>
      <c r="J36" s="19">
        <v>0.31</v>
      </c>
      <c r="K36" s="19">
        <v>0.34</v>
      </c>
      <c r="L36" s="19">
        <v>0.36</v>
      </c>
      <c r="M36" s="19">
        <v>0.38</v>
      </c>
      <c r="N36" s="19">
        <v>0.39</v>
      </c>
      <c r="O36" s="19">
        <v>0.4</v>
      </c>
      <c r="P36" s="19">
        <v>0.4</v>
      </c>
      <c r="Q36" s="19">
        <v>0.41</v>
      </c>
      <c r="R36" s="19">
        <v>0.41</v>
      </c>
      <c r="S36" s="19">
        <v>0.42</v>
      </c>
      <c r="T36" s="19">
        <v>0.42</v>
      </c>
      <c r="U36" s="19">
        <v>0.42</v>
      </c>
      <c r="V36" s="19">
        <v>0.42</v>
      </c>
      <c r="W36" s="2"/>
      <c r="X36" s="2"/>
      <c r="Y36" s="2"/>
      <c r="Z36" s="2"/>
    </row>
    <row r="37" ht="18.0" customHeight="1">
      <c r="A37" s="18" t="s">
        <v>74</v>
      </c>
      <c r="B37" s="15" t="s">
        <v>68</v>
      </c>
      <c r="C37" s="16" t="s">
        <v>75</v>
      </c>
      <c r="D37" s="19">
        <v>0.0</v>
      </c>
      <c r="E37" s="19">
        <v>0.0</v>
      </c>
      <c r="F37" s="19">
        <v>0.0</v>
      </c>
      <c r="G37" s="19">
        <v>0.0</v>
      </c>
      <c r="H37" s="19">
        <v>0.05</v>
      </c>
      <c r="I37" s="19">
        <v>0.05</v>
      </c>
      <c r="J37" s="19">
        <v>0.1</v>
      </c>
      <c r="K37" s="19">
        <v>0.1</v>
      </c>
      <c r="L37" s="19">
        <v>0.15</v>
      </c>
      <c r="M37" s="19">
        <v>0.15</v>
      </c>
      <c r="N37" s="19">
        <v>0.2</v>
      </c>
      <c r="O37" s="19">
        <v>0.2</v>
      </c>
      <c r="P37" s="19">
        <v>0.25</v>
      </c>
      <c r="Q37" s="19">
        <v>0.25</v>
      </c>
      <c r="R37" s="19">
        <v>0.3</v>
      </c>
      <c r="S37" s="19">
        <v>0.3</v>
      </c>
      <c r="T37" s="19">
        <v>0.3</v>
      </c>
      <c r="U37" s="19">
        <v>0.35</v>
      </c>
      <c r="V37" s="19">
        <v>0.4</v>
      </c>
      <c r="W37" s="2"/>
      <c r="X37" s="2"/>
      <c r="Y37" s="2"/>
      <c r="Z37" s="2"/>
    </row>
    <row r="38" ht="18.0" customHeight="1">
      <c r="A38" s="18" t="s">
        <v>76</v>
      </c>
      <c r="B38" s="15" t="s">
        <v>68</v>
      </c>
      <c r="C38" s="16" t="s">
        <v>77</v>
      </c>
      <c r="D38" s="19">
        <v>0.0</v>
      </c>
      <c r="E38" s="19">
        <v>0.0</v>
      </c>
      <c r="F38" s="19">
        <v>0.0</v>
      </c>
      <c r="G38" s="19">
        <v>0.0</v>
      </c>
      <c r="H38" s="19">
        <v>0.0</v>
      </c>
      <c r="I38" s="19">
        <v>0.0</v>
      </c>
      <c r="J38" s="19">
        <v>0.0</v>
      </c>
      <c r="K38" s="19">
        <v>0.0</v>
      </c>
      <c r="L38" s="19">
        <v>0.0</v>
      </c>
      <c r="M38" s="19">
        <v>0.05</v>
      </c>
      <c r="N38" s="19">
        <v>0.09</v>
      </c>
      <c r="O38" s="19">
        <v>0.12</v>
      </c>
      <c r="P38" s="19">
        <v>0.14</v>
      </c>
      <c r="Q38" s="19">
        <v>0.16</v>
      </c>
      <c r="R38" s="19">
        <v>0.17</v>
      </c>
      <c r="S38" s="19">
        <v>0.18</v>
      </c>
      <c r="T38" s="19">
        <v>0.19</v>
      </c>
      <c r="U38" s="19">
        <v>0.19</v>
      </c>
      <c r="V38" s="19">
        <v>0.2</v>
      </c>
      <c r="W38" s="2"/>
      <c r="X38" s="2"/>
      <c r="Y38" s="2"/>
      <c r="Z38" s="2"/>
    </row>
    <row r="39" ht="18.0" customHeight="1">
      <c r="A39" s="18" t="s">
        <v>78</v>
      </c>
      <c r="B39" s="15" t="s">
        <v>68</v>
      </c>
      <c r="C39" s="16" t="s">
        <v>79</v>
      </c>
      <c r="D39" s="19">
        <v>0.0</v>
      </c>
      <c r="E39" s="19">
        <v>0.0</v>
      </c>
      <c r="F39" s="19">
        <v>0.0</v>
      </c>
      <c r="G39" s="19">
        <v>0.0</v>
      </c>
      <c r="H39" s="19">
        <v>0.0</v>
      </c>
      <c r="I39" s="19">
        <v>0.01</v>
      </c>
      <c r="J39" s="19">
        <v>0.02</v>
      </c>
      <c r="K39" s="19">
        <v>0.02</v>
      </c>
      <c r="L39" s="19">
        <v>0.03</v>
      </c>
      <c r="M39" s="19">
        <v>0.03</v>
      </c>
      <c r="N39" s="19">
        <v>0.04</v>
      </c>
      <c r="O39" s="19">
        <v>0.04</v>
      </c>
      <c r="P39" s="19">
        <v>0.04</v>
      </c>
      <c r="Q39" s="19">
        <v>0.05</v>
      </c>
      <c r="R39" s="19">
        <v>0.05</v>
      </c>
      <c r="S39" s="19">
        <v>0.05</v>
      </c>
      <c r="T39" s="19">
        <v>0.06</v>
      </c>
      <c r="U39" s="19">
        <v>0.06</v>
      </c>
      <c r="V39" s="19">
        <v>0.06</v>
      </c>
      <c r="W39" s="2"/>
      <c r="X39" s="2"/>
      <c r="Y39" s="2"/>
      <c r="Z39" s="2"/>
    </row>
    <row r="40" ht="18.0" customHeight="1">
      <c r="A40" s="14" t="s">
        <v>80</v>
      </c>
      <c r="B40" s="15" t="s">
        <v>68</v>
      </c>
      <c r="C40" s="20" t="s">
        <v>34</v>
      </c>
      <c r="D40" s="26">
        <f t="shared" ref="D40:V40" si="17">SUM(D34:D39)</f>
        <v>0.82</v>
      </c>
      <c r="E40" s="26">
        <f t="shared" si="17"/>
        <v>0.87</v>
      </c>
      <c r="F40" s="26">
        <f t="shared" si="17"/>
        <v>0.92</v>
      </c>
      <c r="G40" s="26">
        <f t="shared" si="17"/>
        <v>1.114</v>
      </c>
      <c r="H40" s="26">
        <f t="shared" si="17"/>
        <v>1.358</v>
      </c>
      <c r="I40" s="26">
        <f t="shared" si="17"/>
        <v>1.542</v>
      </c>
      <c r="J40" s="26">
        <f t="shared" si="17"/>
        <v>1.776</v>
      </c>
      <c r="K40" s="26">
        <f t="shared" si="17"/>
        <v>1.95</v>
      </c>
      <c r="L40" s="26">
        <f t="shared" si="17"/>
        <v>2.75</v>
      </c>
      <c r="M40" s="26">
        <f t="shared" si="17"/>
        <v>3.54</v>
      </c>
      <c r="N40" s="26">
        <f t="shared" si="17"/>
        <v>7.176</v>
      </c>
      <c r="O40" s="26">
        <f t="shared" si="17"/>
        <v>10.96</v>
      </c>
      <c r="P40" s="26">
        <f t="shared" si="17"/>
        <v>13.48</v>
      </c>
      <c r="Q40" s="26">
        <f t="shared" si="17"/>
        <v>16.27</v>
      </c>
      <c r="R40" s="26">
        <f t="shared" si="17"/>
        <v>17.30647059</v>
      </c>
      <c r="S40" s="26">
        <f t="shared" si="17"/>
        <v>19.05</v>
      </c>
      <c r="T40" s="26">
        <f t="shared" si="17"/>
        <v>20.37</v>
      </c>
      <c r="U40" s="26">
        <f t="shared" si="17"/>
        <v>21.28511628</v>
      </c>
      <c r="V40" s="26">
        <f t="shared" si="17"/>
        <v>22.38</v>
      </c>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24.0" customHeight="1">
      <c r="A42" s="12" t="s">
        <v>81</v>
      </c>
      <c r="B42" s="13"/>
      <c r="C42" s="13"/>
      <c r="D42" s="13"/>
      <c r="E42" s="13"/>
      <c r="F42" s="13"/>
      <c r="G42" s="13"/>
      <c r="H42" s="13"/>
      <c r="I42" s="13"/>
      <c r="J42" s="13"/>
      <c r="K42" s="13"/>
      <c r="L42" s="13"/>
      <c r="M42" s="13"/>
      <c r="N42" s="13"/>
      <c r="O42" s="13"/>
      <c r="P42" s="13"/>
      <c r="Q42" s="13"/>
      <c r="R42" s="13"/>
      <c r="S42" s="13"/>
      <c r="T42" s="13"/>
      <c r="U42" s="13"/>
      <c r="V42" s="13"/>
      <c r="W42" s="2"/>
      <c r="X42" s="2"/>
      <c r="Y42" s="2"/>
      <c r="Z42" s="2"/>
    </row>
    <row r="43" ht="18.0" customHeight="1">
      <c r="A43" s="18" t="s">
        <v>82</v>
      </c>
      <c r="B43" s="15" t="s">
        <v>27</v>
      </c>
      <c r="C43" s="20" t="s">
        <v>34</v>
      </c>
      <c r="D43" s="33">
        <f t="shared" ref="D43:V43" si="18">D27*D34/4</f>
        <v>9.218870268</v>
      </c>
      <c r="E43" s="33">
        <f t="shared" si="18"/>
        <v>15.91568087</v>
      </c>
      <c r="F43" s="33">
        <f t="shared" si="18"/>
        <v>27.52560062</v>
      </c>
      <c r="G43" s="33">
        <f t="shared" si="18"/>
        <v>44.84939429</v>
      </c>
      <c r="H43" s="33">
        <f t="shared" si="18"/>
        <v>70.41116962</v>
      </c>
      <c r="I43" s="33">
        <f t="shared" si="18"/>
        <v>97.38411961</v>
      </c>
      <c r="J43" s="33">
        <f t="shared" si="18"/>
        <v>117.1924634</v>
      </c>
      <c r="K43" s="33">
        <f t="shared" si="18"/>
        <v>147.9424973</v>
      </c>
      <c r="L43" s="33">
        <f t="shared" si="18"/>
        <v>177.7873067</v>
      </c>
      <c r="M43" s="33">
        <f t="shared" si="18"/>
        <v>195.7141786</v>
      </c>
      <c r="N43" s="33">
        <f t="shared" si="18"/>
        <v>12400.77537</v>
      </c>
      <c r="O43" s="33">
        <f t="shared" si="18"/>
        <v>29301.89424</v>
      </c>
      <c r="P43" s="33">
        <f t="shared" si="18"/>
        <v>51417.41932</v>
      </c>
      <c r="Q43" s="33">
        <f t="shared" si="18"/>
        <v>84879.27937</v>
      </c>
      <c r="R43" s="33">
        <f t="shared" si="18"/>
        <v>112747.7314</v>
      </c>
      <c r="S43" s="33">
        <f t="shared" si="18"/>
        <v>159145.8479</v>
      </c>
      <c r="T43" s="33">
        <f t="shared" si="18"/>
        <v>212183.0187</v>
      </c>
      <c r="U43" s="33">
        <f t="shared" si="18"/>
        <v>257879.6148</v>
      </c>
      <c r="V43" s="33">
        <f t="shared" si="18"/>
        <v>297746.7303</v>
      </c>
      <c r="W43" s="2"/>
      <c r="X43" s="2"/>
      <c r="Y43" s="2"/>
      <c r="Z43" s="2"/>
    </row>
    <row r="44" ht="18.0" customHeight="1">
      <c r="A44" s="18" t="s">
        <v>83</v>
      </c>
      <c r="B44" s="15" t="s">
        <v>27</v>
      </c>
      <c r="C44" s="20" t="s">
        <v>34</v>
      </c>
      <c r="D44" s="33">
        <f t="shared" ref="D44:V44" si="19">D27*D35/4</f>
        <v>132.7517319</v>
      </c>
      <c r="E44" s="33">
        <f t="shared" si="19"/>
        <v>229.1858045</v>
      </c>
      <c r="F44" s="33">
        <f t="shared" si="19"/>
        <v>396.368649</v>
      </c>
      <c r="G44" s="33">
        <f t="shared" si="19"/>
        <v>774.9975333</v>
      </c>
      <c r="H44" s="33">
        <f t="shared" si="19"/>
        <v>1419.48918</v>
      </c>
      <c r="I44" s="33">
        <f t="shared" si="19"/>
        <v>2243.730116</v>
      </c>
      <c r="J44" s="33">
        <f t="shared" si="19"/>
        <v>3037.628653</v>
      </c>
      <c r="K44" s="33">
        <f t="shared" si="19"/>
        <v>4260.743921</v>
      </c>
      <c r="L44" s="33">
        <f t="shared" si="19"/>
        <v>7680.411651</v>
      </c>
      <c r="M44" s="33">
        <f t="shared" si="19"/>
        <v>11273.13669</v>
      </c>
      <c r="N44" s="33">
        <f t="shared" si="19"/>
        <v>14285.69322</v>
      </c>
      <c r="O44" s="33">
        <f t="shared" si="19"/>
        <v>20511.32596</v>
      </c>
      <c r="P44" s="33">
        <f t="shared" si="19"/>
        <v>29886.37498</v>
      </c>
      <c r="Q44" s="33">
        <f t="shared" si="19"/>
        <v>45834.81086</v>
      </c>
      <c r="R44" s="33">
        <f t="shared" si="19"/>
        <v>63100.83119</v>
      </c>
      <c r="S44" s="33">
        <f t="shared" si="19"/>
        <v>102721.4109</v>
      </c>
      <c r="T44" s="33">
        <f t="shared" si="19"/>
        <v>152095.7921</v>
      </c>
      <c r="U44" s="33">
        <f t="shared" si="19"/>
        <v>192634.2111</v>
      </c>
      <c r="V44" s="33">
        <f t="shared" si="19"/>
        <v>230753.716</v>
      </c>
      <c r="W44" s="2"/>
      <c r="X44" s="2"/>
      <c r="Y44" s="2"/>
      <c r="Z44" s="2"/>
    </row>
    <row r="45" ht="18.0" customHeight="1">
      <c r="A45" s="18" t="s">
        <v>84</v>
      </c>
      <c r="B45" s="15" t="s">
        <v>27</v>
      </c>
      <c r="C45" s="20" t="s">
        <v>34</v>
      </c>
      <c r="D45" s="33">
        <f t="shared" ref="D45:V45" si="20">D27*D36/4</f>
        <v>9.218870268</v>
      </c>
      <c r="E45" s="33">
        <f t="shared" si="20"/>
        <v>31.83136173</v>
      </c>
      <c r="F45" s="33">
        <f t="shared" si="20"/>
        <v>82.57680187</v>
      </c>
      <c r="G45" s="33">
        <f t="shared" si="20"/>
        <v>179.3975772</v>
      </c>
      <c r="H45" s="33">
        <f t="shared" si="20"/>
        <v>352.0558481</v>
      </c>
      <c r="I45" s="33">
        <f t="shared" si="20"/>
        <v>545.3510698</v>
      </c>
      <c r="J45" s="33">
        <f t="shared" si="20"/>
        <v>726.5932734</v>
      </c>
      <c r="K45" s="33">
        <f t="shared" si="20"/>
        <v>1006.008981</v>
      </c>
      <c r="L45" s="33">
        <f t="shared" si="20"/>
        <v>1280.068608</v>
      </c>
      <c r="M45" s="33">
        <f t="shared" si="20"/>
        <v>1487.427757</v>
      </c>
      <c r="N45" s="33">
        <f t="shared" si="20"/>
        <v>1612.100798</v>
      </c>
      <c r="O45" s="33">
        <f t="shared" si="20"/>
        <v>1953.459616</v>
      </c>
      <c r="P45" s="33">
        <f t="shared" si="20"/>
        <v>2570.870966</v>
      </c>
      <c r="Q45" s="33">
        <f t="shared" si="20"/>
        <v>3480.050454</v>
      </c>
      <c r="R45" s="33">
        <f t="shared" si="20"/>
        <v>4402.530465</v>
      </c>
      <c r="S45" s="33">
        <f t="shared" si="20"/>
        <v>6076.477831</v>
      </c>
      <c r="T45" s="33">
        <f t="shared" si="20"/>
        <v>7886.448482</v>
      </c>
      <c r="U45" s="33">
        <f t="shared" si="20"/>
        <v>9337.020537</v>
      </c>
      <c r="V45" s="33">
        <f t="shared" si="20"/>
        <v>10421.13556</v>
      </c>
      <c r="W45" s="2"/>
      <c r="X45" s="2"/>
      <c r="Y45" s="2"/>
      <c r="Z45" s="2"/>
    </row>
    <row r="46" ht="18.0" customHeight="1">
      <c r="A46" s="18" t="s">
        <v>85</v>
      </c>
      <c r="B46" s="15" t="s">
        <v>27</v>
      </c>
      <c r="C46" s="20" t="s">
        <v>34</v>
      </c>
      <c r="D46" s="33">
        <f t="shared" ref="D46:V46" si="21">D27*D37/4</f>
        <v>0</v>
      </c>
      <c r="E46" s="33">
        <f t="shared" si="21"/>
        <v>0</v>
      </c>
      <c r="F46" s="33">
        <f t="shared" si="21"/>
        <v>0</v>
      </c>
      <c r="G46" s="33">
        <f t="shared" si="21"/>
        <v>0</v>
      </c>
      <c r="H46" s="33">
        <f t="shared" si="21"/>
        <v>70.41116962</v>
      </c>
      <c r="I46" s="33">
        <f t="shared" si="21"/>
        <v>97.38411961</v>
      </c>
      <c r="J46" s="33">
        <f t="shared" si="21"/>
        <v>234.3849269</v>
      </c>
      <c r="K46" s="33">
        <f t="shared" si="21"/>
        <v>295.8849945</v>
      </c>
      <c r="L46" s="33">
        <f t="shared" si="21"/>
        <v>533.3619202</v>
      </c>
      <c r="M46" s="33">
        <f t="shared" si="21"/>
        <v>587.1425359</v>
      </c>
      <c r="N46" s="33">
        <f t="shared" si="21"/>
        <v>826.7183579</v>
      </c>
      <c r="O46" s="33">
        <f t="shared" si="21"/>
        <v>976.7298078</v>
      </c>
      <c r="P46" s="33">
        <f t="shared" si="21"/>
        <v>1606.794354</v>
      </c>
      <c r="Q46" s="33">
        <f t="shared" si="21"/>
        <v>2121.981984</v>
      </c>
      <c r="R46" s="33">
        <f t="shared" si="21"/>
        <v>3221.363755</v>
      </c>
      <c r="S46" s="33">
        <f t="shared" si="21"/>
        <v>4340.341308</v>
      </c>
      <c r="T46" s="33">
        <f t="shared" si="21"/>
        <v>5633.177487</v>
      </c>
      <c r="U46" s="33">
        <f t="shared" si="21"/>
        <v>7780.850448</v>
      </c>
      <c r="V46" s="33">
        <f t="shared" si="21"/>
        <v>9924.891011</v>
      </c>
      <c r="W46" s="2"/>
      <c r="X46" s="2"/>
      <c r="Y46" s="2"/>
      <c r="Z46" s="2"/>
    </row>
    <row r="47" ht="18.0" customHeight="1">
      <c r="A47" s="18" t="s">
        <v>86</v>
      </c>
      <c r="B47" s="15" t="s">
        <v>27</v>
      </c>
      <c r="C47" s="20" t="s">
        <v>34</v>
      </c>
      <c r="D47" s="33">
        <f t="shared" ref="D47:V47" si="22">D27*D38/4</f>
        <v>0</v>
      </c>
      <c r="E47" s="33">
        <f t="shared" si="22"/>
        <v>0</v>
      </c>
      <c r="F47" s="33">
        <f t="shared" si="22"/>
        <v>0</v>
      </c>
      <c r="G47" s="33">
        <f t="shared" si="22"/>
        <v>0</v>
      </c>
      <c r="H47" s="33">
        <f t="shared" si="22"/>
        <v>0</v>
      </c>
      <c r="I47" s="33">
        <f t="shared" si="22"/>
        <v>0</v>
      </c>
      <c r="J47" s="33">
        <f t="shared" si="22"/>
        <v>0</v>
      </c>
      <c r="K47" s="33">
        <f t="shared" si="22"/>
        <v>0</v>
      </c>
      <c r="L47" s="33">
        <f t="shared" si="22"/>
        <v>0</v>
      </c>
      <c r="M47" s="33">
        <f t="shared" si="22"/>
        <v>195.7141786</v>
      </c>
      <c r="N47" s="33">
        <f t="shared" si="22"/>
        <v>372.023261</v>
      </c>
      <c r="O47" s="33">
        <f t="shared" si="22"/>
        <v>586.0378847</v>
      </c>
      <c r="P47" s="33">
        <f t="shared" si="22"/>
        <v>899.8048381</v>
      </c>
      <c r="Q47" s="33">
        <f t="shared" si="22"/>
        <v>1358.06847</v>
      </c>
      <c r="R47" s="33">
        <f t="shared" si="22"/>
        <v>1825.439461</v>
      </c>
      <c r="S47" s="33">
        <f t="shared" si="22"/>
        <v>2604.204785</v>
      </c>
      <c r="T47" s="33">
        <f t="shared" si="22"/>
        <v>3567.679075</v>
      </c>
      <c r="U47" s="33">
        <f t="shared" si="22"/>
        <v>4223.890243</v>
      </c>
      <c r="V47" s="33">
        <f t="shared" si="22"/>
        <v>4962.445506</v>
      </c>
      <c r="W47" s="2"/>
      <c r="X47" s="2"/>
      <c r="Y47" s="2"/>
      <c r="Z47" s="2"/>
    </row>
    <row r="48" ht="18.0" customHeight="1">
      <c r="A48" s="18" t="s">
        <v>87</v>
      </c>
      <c r="B48" s="15" t="s">
        <v>27</v>
      </c>
      <c r="C48" s="20" t="s">
        <v>34</v>
      </c>
      <c r="D48" s="33">
        <f t="shared" ref="D48:V48" si="23">D27*D39/4</f>
        <v>0</v>
      </c>
      <c r="E48" s="33">
        <f t="shared" si="23"/>
        <v>0</v>
      </c>
      <c r="F48" s="33">
        <f t="shared" si="23"/>
        <v>0</v>
      </c>
      <c r="G48" s="33">
        <f t="shared" si="23"/>
        <v>0</v>
      </c>
      <c r="H48" s="33">
        <f t="shared" si="23"/>
        <v>0</v>
      </c>
      <c r="I48" s="33">
        <f t="shared" si="23"/>
        <v>19.47682392</v>
      </c>
      <c r="J48" s="33">
        <f t="shared" si="23"/>
        <v>46.87698538</v>
      </c>
      <c r="K48" s="33">
        <f t="shared" si="23"/>
        <v>59.1769989</v>
      </c>
      <c r="L48" s="33">
        <f t="shared" si="23"/>
        <v>106.672384</v>
      </c>
      <c r="M48" s="33">
        <f t="shared" si="23"/>
        <v>117.4285072</v>
      </c>
      <c r="N48" s="33">
        <f t="shared" si="23"/>
        <v>165.3436716</v>
      </c>
      <c r="O48" s="33">
        <f t="shared" si="23"/>
        <v>195.3459616</v>
      </c>
      <c r="P48" s="33">
        <f t="shared" si="23"/>
        <v>257.0870966</v>
      </c>
      <c r="Q48" s="33">
        <f t="shared" si="23"/>
        <v>424.3963969</v>
      </c>
      <c r="R48" s="33">
        <f t="shared" si="23"/>
        <v>536.8939591</v>
      </c>
      <c r="S48" s="33">
        <f t="shared" si="23"/>
        <v>723.3902179</v>
      </c>
      <c r="T48" s="33">
        <f t="shared" si="23"/>
        <v>1126.635497</v>
      </c>
      <c r="U48" s="33">
        <f t="shared" si="23"/>
        <v>1333.860077</v>
      </c>
      <c r="V48" s="33">
        <f t="shared" si="23"/>
        <v>1488.733652</v>
      </c>
      <c r="W48" s="2"/>
      <c r="X48" s="2"/>
      <c r="Y48" s="2"/>
      <c r="Z48" s="2"/>
    </row>
    <row r="49" ht="18.0" customHeight="1">
      <c r="A49" s="14" t="s">
        <v>88</v>
      </c>
      <c r="B49" s="15" t="s">
        <v>27</v>
      </c>
      <c r="C49" s="20" t="s">
        <v>34</v>
      </c>
      <c r="D49" s="34">
        <f t="shared" ref="D49:V49" si="24">SUM(D43:D48)</f>
        <v>151.1894724</v>
      </c>
      <c r="E49" s="34">
        <f t="shared" si="24"/>
        <v>276.9328471</v>
      </c>
      <c r="F49" s="34">
        <f t="shared" si="24"/>
        <v>506.4710515</v>
      </c>
      <c r="G49" s="34">
        <f t="shared" si="24"/>
        <v>999.2445048</v>
      </c>
      <c r="H49" s="34">
        <f t="shared" si="24"/>
        <v>1912.367367</v>
      </c>
      <c r="I49" s="34">
        <f t="shared" si="24"/>
        <v>3003.326249</v>
      </c>
      <c r="J49" s="34">
        <f t="shared" si="24"/>
        <v>4162.676302</v>
      </c>
      <c r="K49" s="34">
        <f t="shared" si="24"/>
        <v>5769.757393</v>
      </c>
      <c r="L49" s="34">
        <f t="shared" si="24"/>
        <v>9778.30187</v>
      </c>
      <c r="M49" s="34">
        <f t="shared" si="24"/>
        <v>13856.56385</v>
      </c>
      <c r="N49" s="34">
        <f t="shared" si="24"/>
        <v>29662.65468</v>
      </c>
      <c r="O49" s="34">
        <f t="shared" si="24"/>
        <v>53524.79347</v>
      </c>
      <c r="P49" s="34">
        <f t="shared" si="24"/>
        <v>86638.35155</v>
      </c>
      <c r="Q49" s="34">
        <f t="shared" si="24"/>
        <v>138098.5875</v>
      </c>
      <c r="R49" s="34">
        <f t="shared" si="24"/>
        <v>185834.7902</v>
      </c>
      <c r="S49" s="34">
        <f t="shared" si="24"/>
        <v>275611.673</v>
      </c>
      <c r="T49" s="34">
        <f t="shared" si="24"/>
        <v>382492.7514</v>
      </c>
      <c r="U49" s="34">
        <f t="shared" si="24"/>
        <v>473189.4472</v>
      </c>
      <c r="V49" s="34">
        <f t="shared" si="24"/>
        <v>555297.6521</v>
      </c>
      <c r="W49" s="2"/>
      <c r="X49" s="2"/>
      <c r="Y49" s="2"/>
      <c r="Z49" s="2"/>
    </row>
    <row r="50" ht="18.0" customHeight="1">
      <c r="A50" s="18" t="s">
        <v>89</v>
      </c>
      <c r="B50" s="15" t="s">
        <v>27</v>
      </c>
      <c r="C50" s="20" t="s">
        <v>34</v>
      </c>
      <c r="D50" s="33">
        <f t="shared" ref="D50:V50" si="25">D26*D40/12</f>
        <v>64.43964826</v>
      </c>
      <c r="E50" s="33">
        <f t="shared" si="25"/>
        <v>116.253003</v>
      </c>
      <c r="F50" s="33">
        <f t="shared" si="25"/>
        <v>214.7131576</v>
      </c>
      <c r="G50" s="33">
        <f t="shared" si="25"/>
        <v>406.1733754</v>
      </c>
      <c r="H50" s="33">
        <f t="shared" si="25"/>
        <v>779.7738367</v>
      </c>
      <c r="I50" s="33">
        <f t="shared" si="25"/>
        <v>1116.789476</v>
      </c>
      <c r="J50" s="33">
        <f t="shared" si="25"/>
        <v>1488.85417</v>
      </c>
      <c r="K50" s="33">
        <f t="shared" si="25"/>
        <v>2211.78329</v>
      </c>
      <c r="L50" s="33">
        <f t="shared" si="25"/>
        <v>3399.686351</v>
      </c>
      <c r="M50" s="33">
        <f t="shared" si="25"/>
        <v>4861.38571</v>
      </c>
      <c r="N50" s="33">
        <f t="shared" si="25"/>
        <v>9920.497511</v>
      </c>
      <c r="O50" s="33">
        <f t="shared" si="25"/>
        <v>20531.48819</v>
      </c>
      <c r="P50" s="33">
        <f t="shared" si="25"/>
        <v>32506.66921</v>
      </c>
      <c r="Q50" s="33">
        <f t="shared" si="25"/>
        <v>52831.04342</v>
      </c>
      <c r="R50" s="33">
        <f t="shared" si="25"/>
        <v>67693.24682</v>
      </c>
      <c r="S50" s="33">
        <f t="shared" si="25"/>
        <v>109228.1553</v>
      </c>
      <c r="T50" s="33">
        <f t="shared" si="25"/>
        <v>138198.4472</v>
      </c>
      <c r="U50" s="33">
        <f t="shared" si="25"/>
        <v>171052.6595</v>
      </c>
      <c r="V50" s="33">
        <f t="shared" si="25"/>
        <v>190347.0085</v>
      </c>
      <c r="W50" s="2"/>
      <c r="X50" s="2"/>
      <c r="Y50" s="2"/>
      <c r="Z50" s="2"/>
    </row>
    <row r="51" ht="18.0" customHeight="1">
      <c r="A51" s="14" t="s">
        <v>90</v>
      </c>
      <c r="B51" s="15" t="s">
        <v>27</v>
      </c>
      <c r="C51" s="20" t="s">
        <v>34</v>
      </c>
      <c r="D51" s="34">
        <f t="shared" ref="D51:V51" si="26">D26*D40</f>
        <v>773.2757791</v>
      </c>
      <c r="E51" s="34">
        <f t="shared" si="26"/>
        <v>1395.036035</v>
      </c>
      <c r="F51" s="34">
        <f t="shared" si="26"/>
        <v>2576.557892</v>
      </c>
      <c r="G51" s="34">
        <f t="shared" si="26"/>
        <v>4874.080504</v>
      </c>
      <c r="H51" s="34">
        <f t="shared" si="26"/>
        <v>9357.28604</v>
      </c>
      <c r="I51" s="34">
        <f t="shared" si="26"/>
        <v>13401.47371</v>
      </c>
      <c r="J51" s="34">
        <f t="shared" si="26"/>
        <v>17866.25003</v>
      </c>
      <c r="K51" s="34">
        <f t="shared" si="26"/>
        <v>26541.39948</v>
      </c>
      <c r="L51" s="34">
        <f t="shared" si="26"/>
        <v>40796.23621</v>
      </c>
      <c r="M51" s="34">
        <f t="shared" si="26"/>
        <v>58336.62852</v>
      </c>
      <c r="N51" s="34">
        <f t="shared" si="26"/>
        <v>119045.9701</v>
      </c>
      <c r="O51" s="34">
        <f t="shared" si="26"/>
        <v>246377.8583</v>
      </c>
      <c r="P51" s="34">
        <f t="shared" si="26"/>
        <v>390080.0305</v>
      </c>
      <c r="Q51" s="34">
        <f t="shared" si="26"/>
        <v>633972.521</v>
      </c>
      <c r="R51" s="34">
        <f t="shared" si="26"/>
        <v>812318.9618</v>
      </c>
      <c r="S51" s="34">
        <f t="shared" si="26"/>
        <v>1310737.863</v>
      </c>
      <c r="T51" s="34">
        <f t="shared" si="26"/>
        <v>1658381.366</v>
      </c>
      <c r="U51" s="34">
        <f t="shared" si="26"/>
        <v>2052631.915</v>
      </c>
      <c r="V51" s="34">
        <f t="shared" si="26"/>
        <v>2284164.102</v>
      </c>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35" t="s">
        <v>91</v>
      </c>
      <c r="B53" s="36"/>
      <c r="C53" s="36"/>
      <c r="D53" s="36"/>
      <c r="E53" s="36"/>
      <c r="F53" s="36"/>
      <c r="G53" s="36"/>
      <c r="H53" s="36"/>
      <c r="I53" s="36"/>
      <c r="J53" s="36"/>
      <c r="K53" s="36"/>
      <c r="L53" s="36"/>
      <c r="M53" s="36"/>
      <c r="N53" s="36"/>
      <c r="O53" s="36"/>
      <c r="P53" s="36"/>
      <c r="Q53" s="36"/>
      <c r="R53" s="36"/>
      <c r="S53" s="36"/>
      <c r="T53" s="36"/>
      <c r="U53" s="36"/>
      <c r="V53" s="36"/>
      <c r="W53" s="2"/>
      <c r="X53" s="2"/>
      <c r="Y53" s="2"/>
      <c r="Z53" s="2"/>
    </row>
    <row r="54" ht="18.0" customHeight="1">
      <c r="A54" s="18" t="s">
        <v>92</v>
      </c>
      <c r="B54" s="15" t="s">
        <v>36</v>
      </c>
      <c r="C54" s="20" t="s">
        <v>34</v>
      </c>
      <c r="D54" s="28">
        <f t="shared" ref="D54:V54" si="27">IFERROR(D43/D49,0)</f>
        <v>0.06097560976</v>
      </c>
      <c r="E54" s="28">
        <f t="shared" si="27"/>
        <v>0.05747126437</v>
      </c>
      <c r="F54" s="28">
        <f t="shared" si="27"/>
        <v>0.05434782609</v>
      </c>
      <c r="G54" s="28">
        <f t="shared" si="27"/>
        <v>0.04488330341</v>
      </c>
      <c r="H54" s="28">
        <f t="shared" si="27"/>
        <v>0.03681885125</v>
      </c>
      <c r="I54" s="28">
        <f t="shared" si="27"/>
        <v>0.03242542153</v>
      </c>
      <c r="J54" s="28">
        <f t="shared" si="27"/>
        <v>0.02815315315</v>
      </c>
      <c r="K54" s="28">
        <f t="shared" si="27"/>
        <v>0.02564102564</v>
      </c>
      <c r="L54" s="28">
        <f t="shared" si="27"/>
        <v>0.01818181818</v>
      </c>
      <c r="M54" s="28">
        <f t="shared" si="27"/>
        <v>0.01412429379</v>
      </c>
      <c r="N54" s="28">
        <f t="shared" si="27"/>
        <v>0.4180602007</v>
      </c>
      <c r="O54" s="28">
        <f t="shared" si="27"/>
        <v>0.5474452555</v>
      </c>
      <c r="P54" s="28">
        <f t="shared" si="27"/>
        <v>0.5934718101</v>
      </c>
      <c r="Q54" s="28">
        <f t="shared" si="27"/>
        <v>0.61462815</v>
      </c>
      <c r="R54" s="28">
        <f t="shared" si="27"/>
        <v>0.6067094932</v>
      </c>
      <c r="S54" s="28">
        <f t="shared" si="27"/>
        <v>0.5774278215</v>
      </c>
      <c r="T54" s="28">
        <f t="shared" si="27"/>
        <v>0.5547373589</v>
      </c>
      <c r="U54" s="28">
        <f t="shared" si="27"/>
        <v>0.5449817538</v>
      </c>
      <c r="V54" s="28">
        <f t="shared" si="27"/>
        <v>0.5361930295</v>
      </c>
      <c r="W54" s="2"/>
      <c r="X54" s="2"/>
      <c r="Y54" s="2"/>
      <c r="Z54" s="2"/>
    </row>
    <row r="55" ht="18.0" customHeight="1">
      <c r="A55" s="18" t="s">
        <v>93</v>
      </c>
      <c r="B55" s="15" t="s">
        <v>36</v>
      </c>
      <c r="C55" s="20" t="s">
        <v>34</v>
      </c>
      <c r="D55" s="28">
        <f t="shared" ref="D55:V55" si="28">IFERROR(D44/D49,0)</f>
        <v>0.8780487805</v>
      </c>
      <c r="E55" s="28">
        <f t="shared" si="28"/>
        <v>0.8275862069</v>
      </c>
      <c r="F55" s="28">
        <f t="shared" si="28"/>
        <v>0.7826086957</v>
      </c>
      <c r="G55" s="28">
        <f t="shared" si="28"/>
        <v>0.7755834829</v>
      </c>
      <c r="H55" s="28">
        <f t="shared" si="28"/>
        <v>0.7422680412</v>
      </c>
      <c r="I55" s="28">
        <f t="shared" si="28"/>
        <v>0.7470817121</v>
      </c>
      <c r="J55" s="28">
        <f t="shared" si="28"/>
        <v>0.7297297297</v>
      </c>
      <c r="K55" s="28">
        <f t="shared" si="28"/>
        <v>0.7384615385</v>
      </c>
      <c r="L55" s="28">
        <f t="shared" si="28"/>
        <v>0.7854545455</v>
      </c>
      <c r="M55" s="28">
        <f t="shared" si="28"/>
        <v>0.813559322</v>
      </c>
      <c r="N55" s="28">
        <f t="shared" si="28"/>
        <v>0.4816053512</v>
      </c>
      <c r="O55" s="28">
        <f t="shared" si="28"/>
        <v>0.3832116788</v>
      </c>
      <c r="P55" s="28">
        <f t="shared" si="28"/>
        <v>0.3449554896</v>
      </c>
      <c r="Q55" s="28">
        <f t="shared" si="28"/>
        <v>0.331899201</v>
      </c>
      <c r="R55" s="28">
        <f t="shared" si="28"/>
        <v>0.3395533802</v>
      </c>
      <c r="S55" s="28">
        <f t="shared" si="28"/>
        <v>0.3727034121</v>
      </c>
      <c r="T55" s="28">
        <f t="shared" si="28"/>
        <v>0.3976435935</v>
      </c>
      <c r="U55" s="28">
        <f t="shared" si="28"/>
        <v>0.4070974368</v>
      </c>
      <c r="V55" s="28">
        <f t="shared" si="28"/>
        <v>0.4155495979</v>
      </c>
      <c r="W55" s="2"/>
      <c r="X55" s="2"/>
      <c r="Y55" s="2"/>
      <c r="Z55" s="2"/>
    </row>
    <row r="56" ht="18.0" customHeight="1">
      <c r="A56" s="18" t="s">
        <v>94</v>
      </c>
      <c r="B56" s="15" t="s">
        <v>36</v>
      </c>
      <c r="C56" s="20" t="s">
        <v>34</v>
      </c>
      <c r="D56" s="28">
        <f t="shared" ref="D56:V56" si="29">IFERROR(D45/D49,0)</f>
        <v>0.06097560976</v>
      </c>
      <c r="E56" s="28">
        <f t="shared" si="29"/>
        <v>0.1149425287</v>
      </c>
      <c r="F56" s="28">
        <f t="shared" si="29"/>
        <v>0.1630434783</v>
      </c>
      <c r="G56" s="28">
        <f t="shared" si="29"/>
        <v>0.1795332136</v>
      </c>
      <c r="H56" s="28">
        <f t="shared" si="29"/>
        <v>0.1840942563</v>
      </c>
      <c r="I56" s="28">
        <f t="shared" si="29"/>
        <v>0.1815823606</v>
      </c>
      <c r="J56" s="28">
        <f t="shared" si="29"/>
        <v>0.1745495495</v>
      </c>
      <c r="K56" s="28">
        <f t="shared" si="29"/>
        <v>0.1743589744</v>
      </c>
      <c r="L56" s="28">
        <f t="shared" si="29"/>
        <v>0.1309090909</v>
      </c>
      <c r="M56" s="28">
        <f t="shared" si="29"/>
        <v>0.1073446328</v>
      </c>
      <c r="N56" s="28">
        <f t="shared" si="29"/>
        <v>0.05434782609</v>
      </c>
      <c r="O56" s="28">
        <f t="shared" si="29"/>
        <v>0.03649635036</v>
      </c>
      <c r="P56" s="28">
        <f t="shared" si="29"/>
        <v>0.0296735905</v>
      </c>
      <c r="Q56" s="28">
        <f t="shared" si="29"/>
        <v>0.02519975415</v>
      </c>
      <c r="R56" s="28">
        <f t="shared" si="29"/>
        <v>0.02369056116</v>
      </c>
      <c r="S56" s="28">
        <f t="shared" si="29"/>
        <v>0.02204724409</v>
      </c>
      <c r="T56" s="28">
        <f t="shared" si="29"/>
        <v>0.0206185567</v>
      </c>
      <c r="U56" s="28">
        <f t="shared" si="29"/>
        <v>0.01973209798</v>
      </c>
      <c r="V56" s="28">
        <f t="shared" si="29"/>
        <v>0.01876675603</v>
      </c>
      <c r="W56" s="2"/>
      <c r="X56" s="2"/>
      <c r="Y56" s="2"/>
      <c r="Z56" s="2"/>
    </row>
    <row r="57" ht="18.0" customHeight="1">
      <c r="A57" s="18" t="s">
        <v>95</v>
      </c>
      <c r="B57" s="15" t="s">
        <v>36</v>
      </c>
      <c r="C57" s="20" t="s">
        <v>34</v>
      </c>
      <c r="D57" s="28">
        <f t="shared" ref="D57:V57" si="30">IFERROR(D46/D49,0)</f>
        <v>0</v>
      </c>
      <c r="E57" s="28">
        <f t="shared" si="30"/>
        <v>0</v>
      </c>
      <c r="F57" s="28">
        <f t="shared" si="30"/>
        <v>0</v>
      </c>
      <c r="G57" s="28">
        <f t="shared" si="30"/>
        <v>0</v>
      </c>
      <c r="H57" s="28">
        <f t="shared" si="30"/>
        <v>0.03681885125</v>
      </c>
      <c r="I57" s="28">
        <f t="shared" si="30"/>
        <v>0.03242542153</v>
      </c>
      <c r="J57" s="28">
        <f t="shared" si="30"/>
        <v>0.05630630631</v>
      </c>
      <c r="K57" s="28">
        <f t="shared" si="30"/>
        <v>0.05128205128</v>
      </c>
      <c r="L57" s="28">
        <f t="shared" si="30"/>
        <v>0.05454545455</v>
      </c>
      <c r="M57" s="28">
        <f t="shared" si="30"/>
        <v>0.04237288136</v>
      </c>
      <c r="N57" s="28">
        <f t="shared" si="30"/>
        <v>0.02787068004</v>
      </c>
      <c r="O57" s="28">
        <f t="shared" si="30"/>
        <v>0.01824817518</v>
      </c>
      <c r="P57" s="28">
        <f t="shared" si="30"/>
        <v>0.01854599407</v>
      </c>
      <c r="Q57" s="28">
        <f t="shared" si="30"/>
        <v>0.01536570375</v>
      </c>
      <c r="R57" s="28">
        <f t="shared" si="30"/>
        <v>0.01733455695</v>
      </c>
      <c r="S57" s="28">
        <f t="shared" si="30"/>
        <v>0.0157480315</v>
      </c>
      <c r="T57" s="28">
        <f t="shared" si="30"/>
        <v>0.0147275405</v>
      </c>
      <c r="U57" s="28">
        <f t="shared" si="30"/>
        <v>0.01644341499</v>
      </c>
      <c r="V57" s="28">
        <f t="shared" si="30"/>
        <v>0.01787310098</v>
      </c>
      <c r="W57" s="2"/>
      <c r="X57" s="2"/>
      <c r="Y57" s="2"/>
      <c r="Z57" s="2"/>
    </row>
    <row r="58" ht="18.0" customHeight="1">
      <c r="A58" s="18" t="s">
        <v>96</v>
      </c>
      <c r="B58" s="15" t="s">
        <v>36</v>
      </c>
      <c r="C58" s="20" t="s">
        <v>34</v>
      </c>
      <c r="D58" s="28">
        <f t="shared" ref="D58:V58" si="31">IFERROR(D47/D49,0)</f>
        <v>0</v>
      </c>
      <c r="E58" s="28">
        <f t="shared" si="31"/>
        <v>0</v>
      </c>
      <c r="F58" s="28">
        <f t="shared" si="31"/>
        <v>0</v>
      </c>
      <c r="G58" s="28">
        <f t="shared" si="31"/>
        <v>0</v>
      </c>
      <c r="H58" s="28">
        <f t="shared" si="31"/>
        <v>0</v>
      </c>
      <c r="I58" s="28">
        <f t="shared" si="31"/>
        <v>0</v>
      </c>
      <c r="J58" s="28">
        <f t="shared" si="31"/>
        <v>0</v>
      </c>
      <c r="K58" s="28">
        <f t="shared" si="31"/>
        <v>0</v>
      </c>
      <c r="L58" s="28">
        <f t="shared" si="31"/>
        <v>0</v>
      </c>
      <c r="M58" s="28">
        <f t="shared" si="31"/>
        <v>0.01412429379</v>
      </c>
      <c r="N58" s="28">
        <f t="shared" si="31"/>
        <v>0.01254180602</v>
      </c>
      <c r="O58" s="28">
        <f t="shared" si="31"/>
        <v>0.01094890511</v>
      </c>
      <c r="P58" s="28">
        <f t="shared" si="31"/>
        <v>0.01038575668</v>
      </c>
      <c r="Q58" s="28">
        <f t="shared" si="31"/>
        <v>0.0098340504</v>
      </c>
      <c r="R58" s="28">
        <f t="shared" si="31"/>
        <v>0.009822915605</v>
      </c>
      <c r="S58" s="28">
        <f t="shared" si="31"/>
        <v>0.009448818898</v>
      </c>
      <c r="T58" s="28">
        <f t="shared" si="31"/>
        <v>0.009327442317</v>
      </c>
      <c r="U58" s="28">
        <f t="shared" si="31"/>
        <v>0.008926425278</v>
      </c>
      <c r="V58" s="28">
        <f t="shared" si="31"/>
        <v>0.008936550492</v>
      </c>
      <c r="W58" s="2"/>
      <c r="X58" s="2"/>
      <c r="Y58" s="2"/>
      <c r="Z58" s="2"/>
    </row>
    <row r="59" ht="18.0" customHeight="1">
      <c r="A59" s="18" t="s">
        <v>97</v>
      </c>
      <c r="B59" s="15" t="s">
        <v>36</v>
      </c>
      <c r="C59" s="20" t="s">
        <v>34</v>
      </c>
      <c r="D59" s="28">
        <f t="shared" ref="D59:V59" si="32">IFERROR(D48/D49,0)</f>
        <v>0</v>
      </c>
      <c r="E59" s="28">
        <f t="shared" si="32"/>
        <v>0</v>
      </c>
      <c r="F59" s="28">
        <f t="shared" si="32"/>
        <v>0</v>
      </c>
      <c r="G59" s="28">
        <f t="shared" si="32"/>
        <v>0</v>
      </c>
      <c r="H59" s="28">
        <f t="shared" si="32"/>
        <v>0</v>
      </c>
      <c r="I59" s="28">
        <f t="shared" si="32"/>
        <v>0.006485084306</v>
      </c>
      <c r="J59" s="28">
        <f t="shared" si="32"/>
        <v>0.01126126126</v>
      </c>
      <c r="K59" s="28">
        <f t="shared" si="32"/>
        <v>0.01025641026</v>
      </c>
      <c r="L59" s="28">
        <f t="shared" si="32"/>
        <v>0.01090909091</v>
      </c>
      <c r="M59" s="28">
        <f t="shared" si="32"/>
        <v>0.008474576271</v>
      </c>
      <c r="N59" s="28">
        <f t="shared" si="32"/>
        <v>0.005574136009</v>
      </c>
      <c r="O59" s="28">
        <f t="shared" si="32"/>
        <v>0.003649635036</v>
      </c>
      <c r="P59" s="28">
        <f t="shared" si="32"/>
        <v>0.00296735905</v>
      </c>
      <c r="Q59" s="28">
        <f t="shared" si="32"/>
        <v>0.00307314075</v>
      </c>
      <c r="R59" s="28">
        <f t="shared" si="32"/>
        <v>0.002889092825</v>
      </c>
      <c r="S59" s="28">
        <f t="shared" si="32"/>
        <v>0.002624671916</v>
      </c>
      <c r="T59" s="28">
        <f t="shared" si="32"/>
        <v>0.0029455081</v>
      </c>
      <c r="U59" s="28">
        <f t="shared" si="32"/>
        <v>0.00281887114</v>
      </c>
      <c r="V59" s="28">
        <f t="shared" si="32"/>
        <v>0.002680965147</v>
      </c>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24.0" customHeight="1">
      <c r="A61" s="12" t="s">
        <v>98</v>
      </c>
      <c r="B61" s="13"/>
      <c r="C61" s="13"/>
      <c r="D61" s="13"/>
      <c r="E61" s="13"/>
      <c r="F61" s="13"/>
      <c r="G61" s="13"/>
      <c r="H61" s="13"/>
      <c r="I61" s="13"/>
      <c r="J61" s="13"/>
      <c r="K61" s="13"/>
      <c r="L61" s="13"/>
      <c r="M61" s="13"/>
      <c r="N61" s="13"/>
      <c r="O61" s="13"/>
      <c r="P61" s="13"/>
      <c r="Q61" s="13"/>
      <c r="R61" s="13"/>
      <c r="S61" s="13"/>
      <c r="T61" s="13"/>
      <c r="U61" s="13"/>
      <c r="V61" s="13"/>
      <c r="W61" s="2"/>
      <c r="X61" s="2"/>
      <c r="Y61" s="2"/>
      <c r="Z61" s="2"/>
    </row>
    <row r="62" ht="18.0" customHeight="1">
      <c r="A62" s="18" t="s">
        <v>99</v>
      </c>
      <c r="B62" s="15" t="s">
        <v>27</v>
      </c>
      <c r="C62" s="20" t="s">
        <v>34</v>
      </c>
      <c r="D62" s="33">
        <f t="shared" ref="D62:V62" si="33">D7*3</f>
        <v>810</v>
      </c>
      <c r="E62" s="33">
        <f t="shared" si="33"/>
        <v>960</v>
      </c>
      <c r="F62" s="33">
        <f t="shared" si="33"/>
        <v>1140</v>
      </c>
      <c r="G62" s="33">
        <f t="shared" si="33"/>
        <v>1350</v>
      </c>
      <c r="H62" s="33">
        <f t="shared" si="33"/>
        <v>1650</v>
      </c>
      <c r="I62" s="33">
        <f t="shared" si="33"/>
        <v>1800</v>
      </c>
      <c r="J62" s="33">
        <f t="shared" si="33"/>
        <v>1950</v>
      </c>
      <c r="K62" s="33">
        <f t="shared" si="33"/>
        <v>3000</v>
      </c>
      <c r="L62" s="33">
        <f t="shared" si="33"/>
        <v>3750</v>
      </c>
      <c r="M62" s="33">
        <f t="shared" si="33"/>
        <v>4500</v>
      </c>
      <c r="N62" s="33">
        <f t="shared" si="33"/>
        <v>5250</v>
      </c>
      <c r="O62" s="33">
        <f t="shared" si="33"/>
        <v>7500</v>
      </c>
      <c r="P62" s="33">
        <f t="shared" si="33"/>
        <v>10500</v>
      </c>
      <c r="Q62" s="33">
        <f t="shared" si="33"/>
        <v>15000</v>
      </c>
      <c r="R62" s="33">
        <f t="shared" si="33"/>
        <v>19500</v>
      </c>
      <c r="S62" s="33">
        <f t="shared" si="33"/>
        <v>36000</v>
      </c>
      <c r="T62" s="33">
        <f t="shared" si="33"/>
        <v>45000</v>
      </c>
      <c r="U62" s="33">
        <f t="shared" si="33"/>
        <v>60000</v>
      </c>
      <c r="V62" s="33">
        <f t="shared" si="33"/>
        <v>75000</v>
      </c>
      <c r="W62" s="2"/>
      <c r="X62" s="2"/>
      <c r="Y62" s="2"/>
      <c r="Z62" s="2"/>
    </row>
    <row r="63" ht="18.0" customHeight="1">
      <c r="A63" s="18" t="s">
        <v>100</v>
      </c>
      <c r="B63" s="15" t="s">
        <v>30</v>
      </c>
      <c r="C63" s="20" t="s">
        <v>34</v>
      </c>
      <c r="D63" s="37">
        <f t="shared" ref="D63:V63" si="34">D62/D13</f>
        <v>0.6363636364</v>
      </c>
      <c r="E63" s="37">
        <f t="shared" si="34"/>
        <v>0.4846153846</v>
      </c>
      <c r="F63" s="37">
        <f t="shared" si="34"/>
        <v>0.3466666667</v>
      </c>
      <c r="G63" s="37">
        <f t="shared" si="34"/>
        <v>0.2896551724</v>
      </c>
      <c r="H63" s="37">
        <f t="shared" si="34"/>
        <v>0.2357142857</v>
      </c>
      <c r="I63" s="37">
        <f t="shared" si="34"/>
        <v>0.2357142857</v>
      </c>
      <c r="J63" s="37">
        <f t="shared" si="34"/>
        <v>0.2464285714</v>
      </c>
      <c r="K63" s="37">
        <f t="shared" si="34"/>
        <v>0.2666666667</v>
      </c>
      <c r="L63" s="37">
        <f t="shared" si="34"/>
        <v>0.2884615385</v>
      </c>
      <c r="M63" s="37">
        <f t="shared" si="34"/>
        <v>0.312</v>
      </c>
      <c r="N63" s="37">
        <f t="shared" si="34"/>
        <v>0.35</v>
      </c>
      <c r="O63" s="37">
        <f t="shared" si="34"/>
        <v>0.3260869565</v>
      </c>
      <c r="P63" s="37">
        <f t="shared" si="34"/>
        <v>0.3636363636</v>
      </c>
      <c r="Q63" s="37">
        <f t="shared" si="34"/>
        <v>0.3863636364</v>
      </c>
      <c r="R63" s="37">
        <f t="shared" si="34"/>
        <v>0.4404761905</v>
      </c>
      <c r="S63" s="37">
        <f t="shared" si="34"/>
        <v>0.5</v>
      </c>
      <c r="T63" s="37">
        <f t="shared" si="34"/>
        <v>0.5940594059</v>
      </c>
      <c r="U63" s="37">
        <f t="shared" si="34"/>
        <v>0.6683168317</v>
      </c>
      <c r="V63" s="37">
        <f t="shared" si="34"/>
        <v>0.8663366337</v>
      </c>
      <c r="W63" s="2"/>
      <c r="X63" s="2"/>
      <c r="Y63" s="2"/>
      <c r="Z63" s="2"/>
    </row>
    <row r="64" ht="18.0" customHeight="1">
      <c r="A64" s="18" t="s">
        <v>101</v>
      </c>
      <c r="B64" s="15" t="s">
        <v>30</v>
      </c>
      <c r="C64" s="20" t="s">
        <v>34</v>
      </c>
      <c r="D64" s="37">
        <f t="shared" ref="D64:V64" si="35">D40/12</f>
        <v>0.06833333333</v>
      </c>
      <c r="E64" s="37">
        <f t="shared" si="35"/>
        <v>0.0725</v>
      </c>
      <c r="F64" s="37">
        <f t="shared" si="35"/>
        <v>0.07666666667</v>
      </c>
      <c r="G64" s="37">
        <f t="shared" si="35"/>
        <v>0.09283333333</v>
      </c>
      <c r="H64" s="37">
        <f t="shared" si="35"/>
        <v>0.1131666667</v>
      </c>
      <c r="I64" s="37">
        <f t="shared" si="35"/>
        <v>0.1285</v>
      </c>
      <c r="J64" s="37">
        <f t="shared" si="35"/>
        <v>0.148</v>
      </c>
      <c r="K64" s="37">
        <f t="shared" si="35"/>
        <v>0.1625</v>
      </c>
      <c r="L64" s="37">
        <f t="shared" si="35"/>
        <v>0.2291666667</v>
      </c>
      <c r="M64" s="37">
        <f t="shared" si="35"/>
        <v>0.295</v>
      </c>
      <c r="N64" s="37">
        <f t="shared" si="35"/>
        <v>0.598</v>
      </c>
      <c r="O64" s="37">
        <f t="shared" si="35"/>
        <v>0.9133333333</v>
      </c>
      <c r="P64" s="37">
        <f t="shared" si="35"/>
        <v>1.123333333</v>
      </c>
      <c r="Q64" s="37">
        <f t="shared" si="35"/>
        <v>1.355833333</v>
      </c>
      <c r="R64" s="37">
        <f t="shared" si="35"/>
        <v>1.442205882</v>
      </c>
      <c r="S64" s="37">
        <f t="shared" si="35"/>
        <v>1.5875</v>
      </c>
      <c r="T64" s="37">
        <f t="shared" si="35"/>
        <v>1.6975</v>
      </c>
      <c r="U64" s="37">
        <f t="shared" si="35"/>
        <v>1.77375969</v>
      </c>
      <c r="V64" s="37">
        <f t="shared" si="35"/>
        <v>1.865</v>
      </c>
      <c r="W64" s="2"/>
      <c r="X64" s="2"/>
      <c r="Y64" s="2"/>
      <c r="Z64" s="2"/>
    </row>
    <row r="65" ht="18.0" customHeight="1">
      <c r="A65" s="18" t="s">
        <v>102</v>
      </c>
      <c r="B65" s="15" t="s">
        <v>30</v>
      </c>
      <c r="C65" s="16" t="s">
        <v>103</v>
      </c>
      <c r="D65" s="37">
        <f t="shared" ref="D65:V65" si="36">D64/(1-D19)</f>
        <v>0.1242424242</v>
      </c>
      <c r="E65" s="37">
        <f t="shared" si="36"/>
        <v>0.145</v>
      </c>
      <c r="F65" s="37">
        <f t="shared" si="36"/>
        <v>0.1666666667</v>
      </c>
      <c r="G65" s="37">
        <f t="shared" si="36"/>
        <v>0.2158914729</v>
      </c>
      <c r="H65" s="37">
        <f t="shared" si="36"/>
        <v>0.2829166667</v>
      </c>
      <c r="I65" s="37">
        <f t="shared" si="36"/>
        <v>0.3472972973</v>
      </c>
      <c r="J65" s="37">
        <f t="shared" si="36"/>
        <v>0.4228571429</v>
      </c>
      <c r="K65" s="37">
        <f t="shared" si="36"/>
        <v>0.5078125</v>
      </c>
      <c r="L65" s="37">
        <f t="shared" si="36"/>
        <v>0.5876068376</v>
      </c>
      <c r="M65" s="37">
        <f t="shared" si="36"/>
        <v>0.8194444444</v>
      </c>
      <c r="N65" s="37">
        <f t="shared" si="36"/>
        <v>1.495</v>
      </c>
      <c r="O65" s="37">
        <f t="shared" si="36"/>
        <v>2.403508772</v>
      </c>
      <c r="P65" s="37">
        <f t="shared" si="36"/>
        <v>3.12037037</v>
      </c>
      <c r="Q65" s="37">
        <f t="shared" si="36"/>
        <v>3.873809524</v>
      </c>
      <c r="R65" s="37">
        <f t="shared" si="36"/>
        <v>4.120588235</v>
      </c>
      <c r="S65" s="37">
        <f t="shared" si="36"/>
        <v>4.669117647</v>
      </c>
      <c r="T65" s="37">
        <f t="shared" si="36"/>
        <v>5.143939394</v>
      </c>
      <c r="U65" s="37">
        <f t="shared" si="36"/>
        <v>5.375029363</v>
      </c>
      <c r="V65" s="37">
        <f t="shared" si="36"/>
        <v>5.828125</v>
      </c>
      <c r="W65" s="2"/>
      <c r="X65" s="2"/>
      <c r="Y65" s="2"/>
      <c r="Z65" s="2"/>
    </row>
    <row r="66" ht="18.0" customHeight="1">
      <c r="A66" s="14" t="s">
        <v>104</v>
      </c>
      <c r="B66" s="15" t="s">
        <v>105</v>
      </c>
      <c r="C66" s="20" t="s">
        <v>34</v>
      </c>
      <c r="D66" s="38">
        <f t="shared" ref="D66:V66" si="37">D65/D63</f>
        <v>0.1952380952</v>
      </c>
      <c r="E66" s="38">
        <f t="shared" si="37"/>
        <v>0.2992063492</v>
      </c>
      <c r="F66" s="38">
        <f t="shared" si="37"/>
        <v>0.4807692308</v>
      </c>
      <c r="G66" s="38">
        <f t="shared" si="37"/>
        <v>0.7453396087</v>
      </c>
      <c r="H66" s="38">
        <f t="shared" si="37"/>
        <v>1.200252525</v>
      </c>
      <c r="I66" s="38">
        <f t="shared" si="37"/>
        <v>1.473382473</v>
      </c>
      <c r="J66" s="38">
        <f t="shared" si="37"/>
        <v>1.715942029</v>
      </c>
      <c r="K66" s="38">
        <f t="shared" si="37"/>
        <v>1.904296875</v>
      </c>
      <c r="L66" s="38">
        <f t="shared" si="37"/>
        <v>2.037037037</v>
      </c>
      <c r="M66" s="38">
        <f t="shared" si="37"/>
        <v>2.626424501</v>
      </c>
      <c r="N66" s="38">
        <f t="shared" si="37"/>
        <v>4.271428571</v>
      </c>
      <c r="O66" s="38">
        <f t="shared" si="37"/>
        <v>7.370760234</v>
      </c>
      <c r="P66" s="38">
        <f t="shared" si="37"/>
        <v>8.581018519</v>
      </c>
      <c r="Q66" s="38">
        <f t="shared" si="37"/>
        <v>10.02633053</v>
      </c>
      <c r="R66" s="38">
        <f t="shared" si="37"/>
        <v>9.354848967</v>
      </c>
      <c r="S66" s="38">
        <f t="shared" si="37"/>
        <v>9.338235294</v>
      </c>
      <c r="T66" s="38">
        <f t="shared" si="37"/>
        <v>8.658964646</v>
      </c>
      <c r="U66" s="38">
        <f t="shared" si="37"/>
        <v>8.042636529</v>
      </c>
      <c r="V66" s="38">
        <f t="shared" si="37"/>
        <v>6.727321429</v>
      </c>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24.0" customHeight="1">
      <c r="A69" s="39" t="s">
        <v>106</v>
      </c>
      <c r="B69" s="40"/>
      <c r="C69" s="40"/>
      <c r="D69" s="40"/>
      <c r="E69" s="40"/>
      <c r="F69" s="40"/>
      <c r="G69" s="40"/>
      <c r="H69" s="40"/>
      <c r="I69" s="40"/>
      <c r="J69" s="40"/>
      <c r="K69" s="40"/>
      <c r="L69" s="40"/>
      <c r="M69" s="40"/>
      <c r="N69" s="40"/>
      <c r="O69" s="40"/>
      <c r="P69" s="40"/>
      <c r="Q69" s="40"/>
      <c r="R69" s="40"/>
      <c r="S69" s="40"/>
      <c r="T69" s="40"/>
      <c r="U69" s="40"/>
      <c r="V69" s="40"/>
      <c r="W69" s="2"/>
      <c r="X69" s="2"/>
      <c r="Y69" s="2"/>
      <c r="Z69" s="2"/>
    </row>
    <row r="70" ht="335.25" customHeight="1">
      <c r="A70" s="2"/>
      <c r="B70" s="2"/>
      <c r="C70" s="2"/>
      <c r="D70" s="41" t="s">
        <v>107</v>
      </c>
      <c r="E70" s="42" t="s">
        <v>108</v>
      </c>
      <c r="F70" s="41" t="s">
        <v>109</v>
      </c>
      <c r="G70" s="41" t="s">
        <v>110</v>
      </c>
      <c r="H70" s="41" t="s">
        <v>111</v>
      </c>
      <c r="I70" s="41" t="s">
        <v>112</v>
      </c>
      <c r="J70" s="41" t="s">
        <v>113</v>
      </c>
      <c r="K70" s="41" t="s">
        <v>114</v>
      </c>
      <c r="L70" s="41" t="s">
        <v>115</v>
      </c>
      <c r="M70" s="41" t="s">
        <v>116</v>
      </c>
      <c r="N70" s="41" t="s">
        <v>117</v>
      </c>
      <c r="O70" s="41" t="s">
        <v>118</v>
      </c>
      <c r="P70" s="41" t="s">
        <v>119</v>
      </c>
      <c r="Q70" s="41" t="s">
        <v>120</v>
      </c>
      <c r="R70" s="41" t="s">
        <v>121</v>
      </c>
      <c r="S70" s="41" t="s">
        <v>122</v>
      </c>
      <c r="T70" s="41" t="s">
        <v>123</v>
      </c>
      <c r="U70" s="41" t="s">
        <v>124</v>
      </c>
      <c r="V70" s="41" t="s">
        <v>125</v>
      </c>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B5CF6"/>
    <pageSetUpPr/>
  </sheetPr>
  <sheetViews>
    <sheetView showGridLines="0" workbookViewId="0"/>
  </sheetViews>
  <sheetFormatPr customHeight="1" defaultColWidth="14.43" defaultRowHeight="15.0"/>
  <cols>
    <col customWidth="1" min="1" max="1" width="8.0"/>
    <col customWidth="1" min="2" max="2" width="28.0"/>
    <col customWidth="1" min="3" max="3" width="75.0"/>
    <col customWidth="1" min="4" max="6" width="8.71"/>
  </cols>
  <sheetData>
    <row r="1">
      <c r="A1" s="1" t="s">
        <v>126</v>
      </c>
      <c r="B1" s="2"/>
      <c r="C1" s="2"/>
      <c r="D1" s="2"/>
      <c r="E1" s="2"/>
      <c r="F1" s="2"/>
      <c r="G1" s="2"/>
      <c r="H1" s="2"/>
      <c r="I1" s="2"/>
      <c r="J1" s="2"/>
      <c r="K1" s="2"/>
      <c r="L1" s="2"/>
      <c r="M1" s="2"/>
      <c r="N1" s="2"/>
      <c r="O1" s="2"/>
      <c r="P1" s="2"/>
      <c r="Q1" s="2"/>
      <c r="R1" s="2"/>
      <c r="S1" s="2"/>
      <c r="T1" s="2"/>
      <c r="U1" s="2"/>
      <c r="V1" s="2"/>
      <c r="W1" s="2"/>
      <c r="X1" s="2"/>
      <c r="Y1" s="2"/>
    </row>
    <row r="2">
      <c r="A2" s="3" t="s">
        <v>127</v>
      </c>
      <c r="B2" s="2"/>
      <c r="C2" s="2"/>
      <c r="D2" s="2"/>
      <c r="E2" s="2"/>
      <c r="F2" s="2"/>
      <c r="G2" s="2"/>
      <c r="H2" s="2"/>
      <c r="I2" s="2"/>
      <c r="J2" s="2"/>
      <c r="K2" s="2"/>
      <c r="L2" s="2"/>
      <c r="M2" s="2"/>
      <c r="N2" s="2"/>
      <c r="O2" s="2"/>
      <c r="P2" s="2"/>
      <c r="Q2" s="2"/>
      <c r="R2" s="2"/>
      <c r="S2" s="2"/>
      <c r="T2" s="2"/>
      <c r="U2" s="2"/>
      <c r="V2" s="2"/>
      <c r="W2" s="2"/>
      <c r="X2" s="2"/>
      <c r="Y2" s="2"/>
    </row>
    <row r="3">
      <c r="A3" s="4" t="s">
        <v>128</v>
      </c>
      <c r="B3" s="2"/>
      <c r="C3" s="2"/>
      <c r="D3" s="2"/>
      <c r="E3" s="2"/>
      <c r="F3" s="2"/>
      <c r="G3" s="2"/>
      <c r="H3" s="2"/>
      <c r="I3" s="2"/>
      <c r="J3" s="2"/>
      <c r="K3" s="2"/>
      <c r="L3" s="2"/>
      <c r="M3" s="2"/>
      <c r="N3" s="2"/>
      <c r="O3" s="2"/>
      <c r="P3" s="2"/>
      <c r="Q3" s="2"/>
      <c r="R3" s="2"/>
      <c r="S3" s="2"/>
      <c r="T3" s="2"/>
      <c r="U3" s="2"/>
      <c r="V3" s="2"/>
      <c r="W3" s="2"/>
      <c r="X3" s="2"/>
      <c r="Y3" s="2"/>
    </row>
    <row r="4" ht="21.75" customHeight="1">
      <c r="A4" s="6" t="s">
        <v>5</v>
      </c>
      <c r="B4" s="5" t="s">
        <v>129</v>
      </c>
      <c r="C4" s="5" t="s">
        <v>130</v>
      </c>
      <c r="D4" s="2"/>
      <c r="E4" s="2"/>
      <c r="F4" s="2"/>
      <c r="G4" s="2"/>
      <c r="H4" s="2"/>
      <c r="I4" s="2"/>
      <c r="J4" s="2"/>
      <c r="K4" s="2"/>
      <c r="L4" s="2"/>
      <c r="M4" s="2"/>
      <c r="N4" s="2"/>
      <c r="O4" s="2"/>
      <c r="P4" s="2"/>
      <c r="Q4" s="2"/>
      <c r="R4" s="2"/>
      <c r="S4" s="2"/>
      <c r="T4" s="2"/>
      <c r="U4" s="2"/>
      <c r="V4" s="2"/>
      <c r="W4" s="2"/>
      <c r="X4" s="2"/>
      <c r="Y4" s="2"/>
    </row>
    <row r="5" ht="60.0" customHeight="1">
      <c r="A5" s="43" t="s">
        <v>56</v>
      </c>
      <c r="B5" s="44" t="s">
        <v>131</v>
      </c>
      <c r="C5" s="45" t="s">
        <v>132</v>
      </c>
      <c r="D5" s="2"/>
      <c r="E5" s="2"/>
      <c r="F5" s="2"/>
      <c r="G5" s="2"/>
      <c r="H5" s="2"/>
      <c r="I5" s="2"/>
      <c r="J5" s="2"/>
      <c r="K5" s="2"/>
      <c r="L5" s="2"/>
      <c r="M5" s="2"/>
      <c r="N5" s="2"/>
      <c r="O5" s="2"/>
      <c r="P5" s="2"/>
      <c r="Q5" s="2"/>
      <c r="R5" s="2"/>
      <c r="S5" s="2"/>
      <c r="T5" s="2"/>
      <c r="U5" s="2"/>
      <c r="V5" s="2"/>
      <c r="W5" s="2"/>
      <c r="X5" s="2"/>
      <c r="Y5" s="2"/>
    </row>
    <row r="6" ht="90.0" customHeight="1">
      <c r="A6" s="46" t="s">
        <v>28</v>
      </c>
      <c r="B6" s="47" t="s">
        <v>26</v>
      </c>
      <c r="C6" s="48" t="s">
        <v>133</v>
      </c>
      <c r="D6" s="2"/>
      <c r="E6" s="2"/>
      <c r="F6" s="2"/>
      <c r="G6" s="2"/>
      <c r="H6" s="2"/>
      <c r="I6" s="2"/>
      <c r="J6" s="2"/>
      <c r="K6" s="2"/>
      <c r="L6" s="2"/>
      <c r="M6" s="2"/>
      <c r="N6" s="2"/>
      <c r="O6" s="2"/>
      <c r="P6" s="2"/>
      <c r="Q6" s="2"/>
      <c r="R6" s="2"/>
      <c r="S6" s="2"/>
      <c r="T6" s="2"/>
      <c r="U6" s="2"/>
      <c r="V6" s="2"/>
      <c r="W6" s="2"/>
      <c r="X6" s="2"/>
      <c r="Y6" s="2"/>
    </row>
    <row r="7" ht="108.0" customHeight="1">
      <c r="A7" s="43" t="s">
        <v>31</v>
      </c>
      <c r="B7" s="44" t="s">
        <v>134</v>
      </c>
      <c r="C7" s="45" t="s">
        <v>135</v>
      </c>
      <c r="D7" s="2"/>
      <c r="E7" s="2"/>
      <c r="F7" s="2"/>
      <c r="G7" s="2"/>
      <c r="H7" s="2"/>
      <c r="I7" s="2"/>
      <c r="J7" s="2"/>
      <c r="K7" s="2"/>
      <c r="L7" s="2"/>
      <c r="M7" s="2"/>
      <c r="N7" s="2"/>
      <c r="O7" s="2"/>
      <c r="P7" s="2"/>
      <c r="Q7" s="2"/>
      <c r="R7" s="2"/>
      <c r="S7" s="2"/>
      <c r="T7" s="2"/>
      <c r="U7" s="2"/>
      <c r="V7" s="2"/>
      <c r="W7" s="2"/>
      <c r="X7" s="2"/>
      <c r="Y7" s="2"/>
    </row>
    <row r="8" ht="72.0" customHeight="1">
      <c r="A8" s="46" t="s">
        <v>37</v>
      </c>
      <c r="B8" s="47" t="s">
        <v>136</v>
      </c>
      <c r="C8" s="48" t="s">
        <v>137</v>
      </c>
      <c r="D8" s="2"/>
      <c r="E8" s="2"/>
      <c r="F8" s="2"/>
      <c r="G8" s="2"/>
      <c r="H8" s="2"/>
      <c r="I8" s="2"/>
      <c r="J8" s="2"/>
      <c r="K8" s="2"/>
      <c r="L8" s="2"/>
      <c r="M8" s="2"/>
      <c r="N8" s="2"/>
      <c r="O8" s="2"/>
      <c r="P8" s="2"/>
      <c r="Q8" s="2"/>
      <c r="R8" s="2"/>
      <c r="S8" s="2"/>
      <c r="T8" s="2"/>
      <c r="U8" s="2"/>
      <c r="V8" s="2"/>
      <c r="W8" s="2"/>
      <c r="X8" s="2"/>
      <c r="Y8" s="2"/>
    </row>
    <row r="9" ht="108.0" customHeight="1">
      <c r="A9" s="43" t="s">
        <v>40</v>
      </c>
      <c r="B9" s="44" t="s">
        <v>38</v>
      </c>
      <c r="C9" s="45" t="s">
        <v>138</v>
      </c>
      <c r="D9" s="2"/>
      <c r="E9" s="2"/>
      <c r="F9" s="2"/>
      <c r="G9" s="2"/>
      <c r="H9" s="2"/>
      <c r="I9" s="2"/>
      <c r="J9" s="2"/>
      <c r="K9" s="2"/>
      <c r="L9" s="2"/>
      <c r="M9" s="2"/>
      <c r="N9" s="2"/>
      <c r="O9" s="2"/>
      <c r="P9" s="2"/>
      <c r="Q9" s="2"/>
      <c r="R9" s="2"/>
      <c r="S9" s="2"/>
      <c r="T9" s="2"/>
      <c r="U9" s="2"/>
      <c r="V9" s="2"/>
      <c r="W9" s="2"/>
      <c r="X9" s="2"/>
      <c r="Y9" s="2"/>
    </row>
    <row r="10" ht="144.0" customHeight="1">
      <c r="A10" s="46" t="s">
        <v>49</v>
      </c>
      <c r="B10" s="47" t="s">
        <v>48</v>
      </c>
      <c r="C10" s="48" t="s">
        <v>139</v>
      </c>
      <c r="D10" s="2"/>
      <c r="E10" s="2"/>
      <c r="F10" s="2"/>
      <c r="G10" s="2"/>
      <c r="H10" s="2"/>
      <c r="I10" s="2"/>
      <c r="J10" s="2"/>
      <c r="K10" s="2"/>
      <c r="L10" s="2"/>
      <c r="M10" s="2"/>
      <c r="N10" s="2"/>
      <c r="O10" s="2"/>
      <c r="P10" s="2"/>
      <c r="Q10" s="2"/>
      <c r="R10" s="2"/>
      <c r="S10" s="2"/>
      <c r="T10" s="2"/>
      <c r="U10" s="2"/>
      <c r="V10" s="2"/>
      <c r="W10" s="2"/>
      <c r="X10" s="2"/>
      <c r="Y10" s="2"/>
    </row>
    <row r="11" ht="60.0" customHeight="1">
      <c r="A11" s="43" t="s">
        <v>51</v>
      </c>
      <c r="B11" s="44" t="s">
        <v>140</v>
      </c>
      <c r="C11" s="45" t="s">
        <v>141</v>
      </c>
      <c r="D11" s="2"/>
      <c r="E11" s="2"/>
      <c r="F11" s="2"/>
      <c r="G11" s="2"/>
      <c r="H11" s="2"/>
      <c r="I11" s="2"/>
      <c r="J11" s="2"/>
      <c r="K11" s="2"/>
      <c r="L11" s="2"/>
      <c r="M11" s="2"/>
      <c r="N11" s="2"/>
      <c r="O11" s="2"/>
      <c r="P11" s="2"/>
      <c r="Q11" s="2"/>
      <c r="R11" s="2"/>
      <c r="S11" s="2"/>
      <c r="T11" s="2"/>
      <c r="U11" s="2"/>
      <c r="V11" s="2"/>
      <c r="W11" s="2"/>
      <c r="X11" s="2"/>
      <c r="Y11" s="2"/>
    </row>
    <row r="12" ht="72.0" customHeight="1">
      <c r="A12" s="46" t="s">
        <v>54</v>
      </c>
      <c r="B12" s="47" t="s">
        <v>142</v>
      </c>
      <c r="C12" s="48" t="s">
        <v>143</v>
      </c>
      <c r="D12" s="2"/>
      <c r="E12" s="2"/>
      <c r="F12" s="2"/>
      <c r="G12" s="2"/>
      <c r="H12" s="2"/>
      <c r="I12" s="2"/>
      <c r="J12" s="2"/>
      <c r="K12" s="2"/>
      <c r="L12" s="2"/>
      <c r="M12" s="2"/>
      <c r="N12" s="2"/>
      <c r="O12" s="2"/>
      <c r="P12" s="2"/>
      <c r="Q12" s="2"/>
      <c r="R12" s="2"/>
      <c r="S12" s="2"/>
      <c r="T12" s="2"/>
      <c r="U12" s="2"/>
      <c r="V12" s="2"/>
      <c r="W12" s="2"/>
      <c r="X12" s="2"/>
      <c r="Y12" s="2"/>
    </row>
    <row r="13" ht="90.0" customHeight="1">
      <c r="A13" s="43" t="s">
        <v>65</v>
      </c>
      <c r="B13" s="44" t="s">
        <v>64</v>
      </c>
      <c r="C13" s="45" t="s">
        <v>144</v>
      </c>
      <c r="D13" s="2"/>
      <c r="E13" s="2"/>
      <c r="F13" s="2"/>
      <c r="G13" s="2"/>
      <c r="H13" s="2"/>
      <c r="I13" s="2"/>
      <c r="J13" s="2"/>
      <c r="K13" s="2"/>
      <c r="L13" s="2"/>
      <c r="M13" s="2"/>
      <c r="N13" s="2"/>
      <c r="O13" s="2"/>
      <c r="P13" s="2"/>
      <c r="Q13" s="2"/>
      <c r="R13" s="2"/>
      <c r="S13" s="2"/>
      <c r="T13" s="2"/>
      <c r="U13" s="2"/>
      <c r="V13" s="2"/>
      <c r="W13" s="2"/>
      <c r="X13" s="2"/>
      <c r="Y13" s="2"/>
    </row>
    <row r="14" ht="90.0" customHeight="1">
      <c r="A14" s="46" t="s">
        <v>69</v>
      </c>
      <c r="B14" s="47" t="s">
        <v>145</v>
      </c>
      <c r="C14" s="48" t="s">
        <v>146</v>
      </c>
      <c r="D14" s="2"/>
      <c r="E14" s="2"/>
      <c r="F14" s="2"/>
      <c r="G14" s="2"/>
      <c r="H14" s="2"/>
      <c r="I14" s="2"/>
      <c r="J14" s="2"/>
      <c r="K14" s="2"/>
      <c r="L14" s="2"/>
      <c r="M14" s="2"/>
      <c r="N14" s="2"/>
      <c r="O14" s="2"/>
      <c r="P14" s="2"/>
      <c r="Q14" s="2"/>
      <c r="R14" s="2"/>
      <c r="S14" s="2"/>
      <c r="T14" s="2"/>
      <c r="U14" s="2"/>
      <c r="V14" s="2"/>
      <c r="W14" s="2"/>
      <c r="X14" s="2"/>
      <c r="Y14" s="2"/>
    </row>
    <row r="15" ht="60.0" customHeight="1">
      <c r="A15" s="43" t="s">
        <v>71</v>
      </c>
      <c r="B15" s="44" t="s">
        <v>147</v>
      </c>
      <c r="C15" s="45" t="s">
        <v>148</v>
      </c>
      <c r="D15" s="2"/>
      <c r="E15" s="2"/>
      <c r="F15" s="2"/>
      <c r="G15" s="2"/>
      <c r="H15" s="2"/>
      <c r="I15" s="2"/>
      <c r="J15" s="2"/>
      <c r="K15" s="2"/>
      <c r="L15" s="2"/>
      <c r="M15" s="2"/>
      <c r="N15" s="2"/>
      <c r="O15" s="2"/>
      <c r="P15" s="2"/>
      <c r="Q15" s="2"/>
      <c r="R15" s="2"/>
      <c r="S15" s="2"/>
      <c r="T15" s="2"/>
      <c r="U15" s="2"/>
      <c r="V15" s="2"/>
      <c r="W15" s="2"/>
      <c r="X15" s="2"/>
      <c r="Y15" s="2"/>
    </row>
    <row r="16" ht="72.0" customHeight="1">
      <c r="A16" s="46" t="s">
        <v>73</v>
      </c>
      <c r="B16" s="47" t="s">
        <v>149</v>
      </c>
      <c r="C16" s="48" t="s">
        <v>150</v>
      </c>
      <c r="D16" s="2"/>
      <c r="E16" s="2"/>
      <c r="F16" s="2"/>
      <c r="G16" s="2"/>
      <c r="H16" s="2"/>
      <c r="I16" s="2"/>
      <c r="J16" s="2"/>
      <c r="K16" s="2"/>
      <c r="L16" s="2"/>
      <c r="M16" s="2"/>
      <c r="N16" s="2"/>
      <c r="O16" s="2"/>
      <c r="P16" s="2"/>
      <c r="Q16" s="2"/>
      <c r="R16" s="2"/>
      <c r="S16" s="2"/>
      <c r="T16" s="2"/>
      <c r="U16" s="2"/>
      <c r="V16" s="2"/>
      <c r="W16" s="2"/>
      <c r="X16" s="2"/>
      <c r="Y16" s="2"/>
    </row>
    <row r="17" ht="60.0" customHeight="1">
      <c r="A17" s="43" t="s">
        <v>75</v>
      </c>
      <c r="B17" s="44" t="s">
        <v>151</v>
      </c>
      <c r="C17" s="45" t="s">
        <v>152</v>
      </c>
      <c r="D17" s="2"/>
      <c r="E17" s="2"/>
      <c r="F17" s="2"/>
      <c r="G17" s="2"/>
      <c r="H17" s="2"/>
      <c r="I17" s="2"/>
      <c r="J17" s="2"/>
      <c r="K17" s="2"/>
      <c r="L17" s="2"/>
      <c r="M17" s="2"/>
      <c r="N17" s="2"/>
      <c r="O17" s="2"/>
      <c r="P17" s="2"/>
      <c r="Q17" s="2"/>
      <c r="R17" s="2"/>
      <c r="S17" s="2"/>
      <c r="T17" s="2"/>
      <c r="U17" s="2"/>
      <c r="V17" s="2"/>
      <c r="W17" s="2"/>
      <c r="X17" s="2"/>
      <c r="Y17" s="2"/>
    </row>
    <row r="18" ht="60.0" customHeight="1">
      <c r="A18" s="46" t="s">
        <v>77</v>
      </c>
      <c r="B18" s="47" t="s">
        <v>153</v>
      </c>
      <c r="C18" s="48" t="s">
        <v>154</v>
      </c>
      <c r="D18" s="2"/>
      <c r="E18" s="2"/>
      <c r="F18" s="2"/>
      <c r="G18" s="2"/>
      <c r="H18" s="2"/>
      <c r="I18" s="2"/>
      <c r="J18" s="2"/>
      <c r="K18" s="2"/>
      <c r="L18" s="2"/>
      <c r="M18" s="2"/>
      <c r="N18" s="2"/>
      <c r="O18" s="2"/>
      <c r="P18" s="2"/>
      <c r="Q18" s="2"/>
      <c r="R18" s="2"/>
      <c r="S18" s="2"/>
      <c r="T18" s="2"/>
      <c r="U18" s="2"/>
      <c r="V18" s="2"/>
      <c r="W18" s="2"/>
      <c r="X18" s="2"/>
      <c r="Y18" s="2"/>
    </row>
    <row r="19" ht="60.0" customHeight="1">
      <c r="A19" s="43" t="s">
        <v>79</v>
      </c>
      <c r="B19" s="44" t="s">
        <v>155</v>
      </c>
      <c r="C19" s="45" t="s">
        <v>156</v>
      </c>
      <c r="D19" s="2"/>
      <c r="E19" s="2"/>
      <c r="F19" s="2"/>
      <c r="G19" s="2"/>
      <c r="H19" s="2"/>
      <c r="I19" s="2"/>
      <c r="J19" s="2"/>
      <c r="K19" s="2"/>
      <c r="L19" s="2"/>
      <c r="M19" s="2"/>
      <c r="N19" s="2"/>
      <c r="O19" s="2"/>
      <c r="P19" s="2"/>
      <c r="Q19" s="2"/>
      <c r="R19" s="2"/>
      <c r="S19" s="2"/>
      <c r="T19" s="2"/>
      <c r="U19" s="2"/>
      <c r="V19" s="2"/>
      <c r="W19" s="2"/>
      <c r="X19" s="2"/>
      <c r="Y19" s="2"/>
    </row>
    <row r="20" ht="60.0" customHeight="1">
      <c r="A20" s="46" t="s">
        <v>157</v>
      </c>
      <c r="B20" s="47" t="s">
        <v>158</v>
      </c>
      <c r="C20" s="48" t="s">
        <v>159</v>
      </c>
      <c r="D20" s="2"/>
      <c r="E20" s="2"/>
      <c r="F20" s="2"/>
      <c r="G20" s="2"/>
      <c r="H20" s="2"/>
      <c r="I20" s="2"/>
      <c r="J20" s="2"/>
      <c r="K20" s="2"/>
      <c r="L20" s="2"/>
      <c r="M20" s="2"/>
      <c r="N20" s="2"/>
      <c r="O20" s="2"/>
      <c r="P20" s="2"/>
      <c r="Q20" s="2"/>
      <c r="R20" s="2"/>
      <c r="S20" s="2"/>
      <c r="T20" s="2"/>
      <c r="U20" s="2"/>
      <c r="V20" s="2"/>
      <c r="W20" s="2"/>
      <c r="X20" s="2"/>
      <c r="Y20" s="2"/>
    </row>
    <row r="21" ht="90.0" customHeight="1">
      <c r="A21" s="43" t="s">
        <v>160</v>
      </c>
      <c r="B21" s="44" t="s">
        <v>161</v>
      </c>
      <c r="C21" s="45" t="s">
        <v>162</v>
      </c>
      <c r="D21" s="2"/>
      <c r="E21" s="2"/>
      <c r="F21" s="2"/>
      <c r="G21" s="2"/>
      <c r="H21" s="2"/>
      <c r="I21" s="2"/>
      <c r="J21" s="2"/>
      <c r="K21" s="2"/>
      <c r="L21" s="2"/>
      <c r="M21" s="2"/>
      <c r="N21" s="2"/>
      <c r="O21" s="2"/>
      <c r="P21" s="2"/>
      <c r="Q21" s="2"/>
      <c r="R21" s="2"/>
      <c r="S21" s="2"/>
      <c r="T21" s="2"/>
      <c r="U21" s="2"/>
      <c r="V21" s="2"/>
      <c r="W21" s="2"/>
      <c r="X21" s="2"/>
      <c r="Y21" s="2"/>
    </row>
    <row r="22" ht="60.0" customHeight="1">
      <c r="A22" s="46" t="s">
        <v>163</v>
      </c>
      <c r="B22" s="47" t="s">
        <v>164</v>
      </c>
      <c r="C22" s="48" t="s">
        <v>165</v>
      </c>
      <c r="D22" s="2"/>
      <c r="E22" s="2"/>
      <c r="F22" s="2"/>
      <c r="G22" s="2"/>
      <c r="H22" s="2"/>
      <c r="I22" s="2"/>
      <c r="J22" s="2"/>
      <c r="K22" s="2"/>
      <c r="L22" s="2"/>
      <c r="M22" s="2"/>
      <c r="N22" s="2"/>
      <c r="O22" s="2"/>
      <c r="P22" s="2"/>
      <c r="Q22" s="2"/>
      <c r="R22" s="2"/>
      <c r="S22" s="2"/>
      <c r="T22" s="2"/>
      <c r="U22" s="2"/>
      <c r="V22" s="2"/>
      <c r="W22" s="2"/>
      <c r="X22" s="2"/>
      <c r="Y22" s="2"/>
    </row>
    <row r="23" ht="60.0" customHeight="1">
      <c r="A23" s="43" t="s">
        <v>166</v>
      </c>
      <c r="B23" s="44" t="s">
        <v>167</v>
      </c>
      <c r="C23" s="45" t="s">
        <v>168</v>
      </c>
      <c r="D23" s="2"/>
      <c r="E23" s="2"/>
      <c r="F23" s="2"/>
      <c r="G23" s="2"/>
      <c r="H23" s="2"/>
      <c r="I23" s="2"/>
      <c r="J23" s="2"/>
      <c r="K23" s="2"/>
      <c r="L23" s="2"/>
      <c r="M23" s="2"/>
      <c r="N23" s="2"/>
      <c r="O23" s="2"/>
      <c r="P23" s="2"/>
      <c r="Q23" s="2"/>
      <c r="R23" s="2"/>
      <c r="S23" s="2"/>
      <c r="T23" s="2"/>
      <c r="U23" s="2"/>
      <c r="V23" s="2"/>
      <c r="W23" s="2"/>
      <c r="X23" s="2"/>
      <c r="Y23" s="2"/>
    </row>
    <row r="24" ht="60.0" customHeight="1">
      <c r="A24" s="46" t="s">
        <v>103</v>
      </c>
      <c r="B24" s="47" t="s">
        <v>169</v>
      </c>
      <c r="C24" s="48" t="s">
        <v>170</v>
      </c>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21.75" customHeight="1">
      <c r="A26" s="49" t="s">
        <v>171</v>
      </c>
      <c r="B26" s="50"/>
      <c r="C26" s="50"/>
      <c r="D26" s="2"/>
      <c r="E26" s="2"/>
      <c r="F26" s="2"/>
      <c r="G26" s="2"/>
      <c r="H26" s="2"/>
      <c r="I26" s="2"/>
      <c r="J26" s="2"/>
      <c r="K26" s="2"/>
      <c r="L26" s="2"/>
      <c r="M26" s="2"/>
      <c r="N26" s="2"/>
      <c r="O26" s="2"/>
      <c r="P26" s="2"/>
      <c r="Q26" s="2"/>
      <c r="R26" s="2"/>
      <c r="S26" s="2"/>
      <c r="T26" s="2"/>
      <c r="U26" s="2"/>
      <c r="V26" s="2"/>
      <c r="W26" s="2"/>
      <c r="X26" s="2"/>
      <c r="Y26" s="2"/>
    </row>
    <row r="27" ht="30.0" customHeight="1">
      <c r="A27" s="51" t="s">
        <v>172</v>
      </c>
      <c r="E27" s="2"/>
      <c r="F27" s="2"/>
      <c r="G27" s="2"/>
      <c r="H27" s="2"/>
      <c r="I27" s="2"/>
      <c r="J27" s="2"/>
      <c r="K27" s="2"/>
      <c r="L27" s="2"/>
      <c r="M27" s="2"/>
      <c r="N27" s="2"/>
      <c r="O27" s="2"/>
      <c r="P27" s="2"/>
      <c r="Q27" s="2"/>
      <c r="R27" s="2"/>
      <c r="S27" s="2"/>
      <c r="T27" s="2"/>
      <c r="U27" s="2"/>
      <c r="V27" s="2"/>
      <c r="W27" s="2"/>
      <c r="X27" s="2"/>
      <c r="Y27" s="2"/>
    </row>
    <row r="28" ht="30.0" customHeight="1">
      <c r="A28" s="51" t="s">
        <v>173</v>
      </c>
      <c r="E28" s="2"/>
      <c r="F28" s="2"/>
      <c r="G28" s="2"/>
      <c r="H28" s="2"/>
      <c r="I28" s="2"/>
      <c r="J28" s="2"/>
      <c r="K28" s="2"/>
      <c r="L28" s="2"/>
      <c r="M28" s="2"/>
      <c r="N28" s="2"/>
      <c r="O28" s="2"/>
      <c r="P28" s="2"/>
      <c r="Q28" s="2"/>
      <c r="R28" s="2"/>
      <c r="S28" s="2"/>
      <c r="T28" s="2"/>
      <c r="U28" s="2"/>
      <c r="V28" s="2"/>
      <c r="W28" s="2"/>
      <c r="X28" s="2"/>
      <c r="Y28" s="2"/>
    </row>
    <row r="29" ht="30.0" customHeight="1">
      <c r="A29" s="51" t="s">
        <v>174</v>
      </c>
      <c r="E29" s="2"/>
      <c r="F29" s="2"/>
      <c r="G29" s="2"/>
      <c r="H29" s="2"/>
      <c r="I29" s="2"/>
      <c r="J29" s="2"/>
      <c r="K29" s="2"/>
      <c r="L29" s="2"/>
      <c r="M29" s="2"/>
      <c r="N29" s="2"/>
      <c r="O29" s="2"/>
      <c r="P29" s="2"/>
      <c r="Q29" s="2"/>
      <c r="R29" s="2"/>
      <c r="S29" s="2"/>
      <c r="T29" s="2"/>
      <c r="U29" s="2"/>
      <c r="V29" s="2"/>
      <c r="W29" s="2"/>
      <c r="X29" s="2"/>
      <c r="Y29" s="2"/>
    </row>
    <row r="30" ht="30.0" customHeight="1">
      <c r="A30" s="51" t="s">
        <v>175</v>
      </c>
      <c r="E30" s="2"/>
      <c r="F30" s="2"/>
      <c r="G30" s="2"/>
      <c r="H30" s="2"/>
      <c r="I30" s="2"/>
      <c r="J30" s="2"/>
      <c r="K30" s="2"/>
      <c r="L30" s="2"/>
      <c r="M30" s="2"/>
      <c r="N30" s="2"/>
      <c r="O30" s="2"/>
      <c r="P30" s="2"/>
      <c r="Q30" s="2"/>
      <c r="R30" s="2"/>
      <c r="S30" s="2"/>
      <c r="T30" s="2"/>
      <c r="U30" s="2"/>
      <c r="V30" s="2"/>
      <c r="W30" s="2"/>
      <c r="X30" s="2"/>
      <c r="Y30" s="2"/>
    </row>
    <row r="31" ht="30.0" customHeight="1">
      <c r="A31" s="52" t="s">
        <v>176</v>
      </c>
      <c r="E31" s="2"/>
      <c r="F31" s="2"/>
      <c r="G31" s="2"/>
      <c r="H31" s="2"/>
      <c r="I31" s="2"/>
      <c r="J31" s="2"/>
      <c r="K31" s="2"/>
      <c r="L31" s="2"/>
      <c r="M31" s="2"/>
      <c r="N31" s="2"/>
      <c r="O31" s="2"/>
      <c r="P31" s="2"/>
      <c r="Q31" s="2"/>
      <c r="R31" s="2"/>
      <c r="S31" s="2"/>
      <c r="T31" s="2"/>
      <c r="U31" s="2"/>
      <c r="V31" s="2"/>
      <c r="W31" s="2"/>
      <c r="X31" s="2"/>
      <c r="Y31" s="2"/>
    </row>
    <row r="32" ht="30.0" customHeight="1">
      <c r="A32" s="52" t="s">
        <v>177</v>
      </c>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mergeCells count="6">
    <mergeCell ref="A27:D27"/>
    <mergeCell ref="A28:D28"/>
    <mergeCell ref="A29:D29"/>
    <mergeCell ref="A30:D30"/>
    <mergeCell ref="A31:D31"/>
    <mergeCell ref="A32:D32"/>
  </mergeCells>
  <printOptions/>
  <pageMargins bottom="1.0" footer="0.0" header="0.0" left="0.75" right="0.75" top="1.0"/>
  <pageSetup orientation="landscape"/>
  <drawing r:id="rId1"/>
</worksheet>
</file>